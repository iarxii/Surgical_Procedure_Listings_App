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469862\Desktop\"/>
    </mc:Choice>
  </mc:AlternateContent>
  <xr:revisionPtr revIDLastSave="0" documentId="8_{FBCAF94C-3403-4F5D-A49D-3E3B1F415177}" xr6:coauthVersionLast="47" xr6:coauthVersionMax="47" xr10:uidLastSave="{00000000-0000-0000-0000-000000000000}"/>
  <bookViews>
    <workbookView xWindow="-110" yWindow="-110" windowWidth="19420" windowHeight="10420" xr2:uid="{DE49203D-DE08-418B-9455-AEB6B55C7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0" i="1"/>
  <c r="I32" i="1"/>
  <c r="I33" i="1"/>
  <c r="I34" i="1"/>
  <c r="I35" i="1"/>
  <c r="I36" i="1"/>
  <c r="I37" i="1"/>
  <c r="I39" i="1"/>
  <c r="I40" i="1"/>
  <c r="I41" i="1"/>
  <c r="I42" i="1"/>
  <c r="I43" i="1"/>
  <c r="I44" i="1"/>
  <c r="I45" i="1"/>
  <c r="I46" i="1"/>
  <c r="I47" i="1"/>
  <c r="I49" i="1"/>
  <c r="I50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2" i="1"/>
  <c r="I103" i="1"/>
  <c r="I104" i="1"/>
  <c r="I105" i="1"/>
  <c r="I106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3" i="1"/>
  <c r="I124" i="1"/>
  <c r="I126" i="1"/>
  <c r="I127" i="1"/>
  <c r="I128" i="1"/>
  <c r="I129" i="1"/>
  <c r="I130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70" i="1"/>
  <c r="I171" i="1"/>
  <c r="I172" i="1"/>
  <c r="I173" i="1"/>
  <c r="I174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8" i="1"/>
  <c r="I199" i="1"/>
  <c r="I200" i="1"/>
  <c r="I201" i="1"/>
  <c r="I202" i="1"/>
  <c r="I203" i="1"/>
  <c r="I204" i="1"/>
  <c r="I205" i="1"/>
  <c r="I206" i="1"/>
  <c r="I208" i="1"/>
  <c r="I209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60" i="1"/>
  <c r="I261" i="1"/>
  <c r="I262" i="1"/>
  <c r="I264" i="1"/>
  <c r="I265" i="1"/>
  <c r="I266" i="1"/>
  <c r="I267" i="1"/>
  <c r="I268" i="1"/>
  <c r="I269" i="1"/>
  <c r="I270" i="1"/>
  <c r="I13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30" i="1"/>
  <c r="H32" i="1"/>
  <c r="H33" i="1"/>
  <c r="H34" i="1"/>
  <c r="H35" i="1"/>
  <c r="H36" i="1"/>
  <c r="H37" i="1"/>
  <c r="H39" i="1"/>
  <c r="H40" i="1"/>
  <c r="H41" i="1"/>
  <c r="H42" i="1"/>
  <c r="H43" i="1"/>
  <c r="H44" i="1"/>
  <c r="H45" i="1"/>
  <c r="H46" i="1"/>
  <c r="H47" i="1"/>
  <c r="H49" i="1"/>
  <c r="H50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2" i="1"/>
  <c r="H103" i="1"/>
  <c r="H104" i="1"/>
  <c r="H105" i="1"/>
  <c r="H106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3" i="1"/>
  <c r="H124" i="1"/>
  <c r="H126" i="1"/>
  <c r="H127" i="1"/>
  <c r="H128" i="1"/>
  <c r="H129" i="1"/>
  <c r="H130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70" i="1"/>
  <c r="H171" i="1"/>
  <c r="H172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8" i="1"/>
  <c r="H199" i="1"/>
  <c r="H200" i="1"/>
  <c r="H201" i="1"/>
  <c r="H202" i="1"/>
  <c r="H203" i="1"/>
  <c r="H204" i="1"/>
  <c r="H205" i="1"/>
  <c r="H206" i="1"/>
  <c r="H208" i="1"/>
  <c r="H209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60" i="1"/>
  <c r="H261" i="1"/>
  <c r="H262" i="1"/>
  <c r="H264" i="1"/>
  <c r="H265" i="1"/>
  <c r="H266" i="1"/>
  <c r="H267" i="1"/>
  <c r="H268" i="1"/>
  <c r="H269" i="1"/>
  <c r="H270" i="1"/>
  <c r="J13" i="1"/>
</calcChain>
</file>

<file path=xl/sharedStrings.xml><?xml version="1.0" encoding="utf-8"?>
<sst xmlns="http://schemas.openxmlformats.org/spreadsheetml/2006/main" count="1540" uniqueCount="544">
  <si>
    <t>Procedure</t>
  </si>
  <si>
    <t>ICD -10</t>
  </si>
  <si>
    <t xml:space="preserve">Level </t>
  </si>
  <si>
    <t>Treatment Time Gurantee (TTG)</t>
  </si>
  <si>
    <t>Breast Cancer</t>
  </si>
  <si>
    <t>C50.9</t>
  </si>
  <si>
    <t>Prostate Cancer</t>
  </si>
  <si>
    <t>C61</t>
  </si>
  <si>
    <t>Oesophageal Cancer</t>
  </si>
  <si>
    <t>C15</t>
  </si>
  <si>
    <t>Rectal Cancer</t>
  </si>
  <si>
    <t>C20</t>
  </si>
  <si>
    <t>Anal Cancer</t>
  </si>
  <si>
    <t>C21</t>
  </si>
  <si>
    <t>Carvical Cancer</t>
  </si>
  <si>
    <t>C53.9</t>
  </si>
  <si>
    <t>Uterine Cancer</t>
  </si>
  <si>
    <t>C54</t>
  </si>
  <si>
    <t>Bladder Cancer</t>
  </si>
  <si>
    <t>C67</t>
  </si>
  <si>
    <t>Head and Neck Cancer</t>
  </si>
  <si>
    <t>C76-C80</t>
  </si>
  <si>
    <t>Non-melanoma skin Cancer</t>
  </si>
  <si>
    <t>C44</t>
  </si>
  <si>
    <t>Glioblastoma Multiforme</t>
  </si>
  <si>
    <t>C71.9</t>
  </si>
  <si>
    <t>Acute Spinlal Cord Compression (with possible preservation of neurologic function)</t>
  </si>
  <si>
    <t>G95.2</t>
  </si>
  <si>
    <t>Soft-tissue Sarcoma (pre-op RT)</t>
  </si>
  <si>
    <t>C49</t>
  </si>
  <si>
    <t>Soft-tissue Sarcoma (post-op RT)</t>
  </si>
  <si>
    <t>Pituitary Adenoma</t>
  </si>
  <si>
    <t>D35.2</t>
  </si>
  <si>
    <t>Meningioma</t>
  </si>
  <si>
    <t>D32.9</t>
  </si>
  <si>
    <t>Radiation Oncology</t>
  </si>
  <si>
    <t>n/a</t>
  </si>
  <si>
    <t>3 months</t>
  </si>
  <si>
    <t>2 months</t>
  </si>
  <si>
    <t>4 weeks</t>
  </si>
  <si>
    <t>&lt;24hours</t>
  </si>
  <si>
    <t xml:space="preserve">Brain Metastases </t>
  </si>
  <si>
    <t>C79.31</t>
  </si>
  <si>
    <t>72 hours</t>
  </si>
  <si>
    <t>Bleeding from tumour</t>
  </si>
  <si>
    <t>Multiple - depends on site</t>
  </si>
  <si>
    <t>Paediatic Cancers</t>
  </si>
  <si>
    <t>Depending on site</t>
  </si>
  <si>
    <t>To sync with protocol bing followed re. timing of radiotherapy with chemotherpy</t>
  </si>
  <si>
    <t>Cardiac Surgery</t>
  </si>
  <si>
    <t>T/C</t>
  </si>
  <si>
    <t>R/T/C</t>
  </si>
  <si>
    <t>Adult congenital heart disease ​</t>
  </si>
  <si>
    <t>Q24.9</t>
  </si>
  <si>
    <t>Coronary artery bypass ​</t>
  </si>
  <si>
    <t>I25.10</t>
  </si>
  <si>
    <t>Valvular heart replacements ​</t>
  </si>
  <si>
    <t>I35.0</t>
  </si>
  <si>
    <t>Infective Endocarditis</t>
  </si>
  <si>
    <t>I33.0</t>
  </si>
  <si>
    <t>Pericardial disease ​</t>
  </si>
  <si>
    <t>I31.9</t>
  </si>
  <si>
    <t>Cardiac tumours ​</t>
  </si>
  <si>
    <t>D15.1</t>
  </si>
  <si>
    <t>Pulmonary endarterectomy​</t>
  </si>
  <si>
    <t>I26.99</t>
  </si>
  <si>
    <t>Care / ICU</t>
  </si>
  <si>
    <t>ICU</t>
  </si>
  <si>
    <t>8 Weeks</t>
  </si>
  <si>
    <t>16 Weeks</t>
  </si>
  <si>
    <t>14 Weeks</t>
  </si>
  <si>
    <t>2 Weeks</t>
  </si>
  <si>
    <t>4 Weeks</t>
  </si>
  <si>
    <t>Emergency</t>
  </si>
  <si>
    <t>Thoracic Surgery</t>
  </si>
  <si>
    <t>Segmentectomy / Wedge Resection​</t>
  </si>
  <si>
    <t>C34.x/D38.1</t>
  </si>
  <si>
    <t>Lobectomy​</t>
  </si>
  <si>
    <t>C34.x</t>
  </si>
  <si>
    <t>Pneumonectomy​</t>
  </si>
  <si>
    <t>Bullectomy / Pleurectomy​</t>
  </si>
  <si>
    <t>J43.9</t>
  </si>
  <si>
    <t>Tracheal resection / Dilatation / Stent​</t>
  </si>
  <si>
    <t>C33</t>
  </si>
  <si>
    <t>Hydatid Cystectomy​</t>
  </si>
  <si>
    <t>B67.1</t>
  </si>
  <si>
    <t>Washout / Decortication​</t>
  </si>
  <si>
    <t>J86.9</t>
  </si>
  <si>
    <t>Basal Drain / Eloesser Flap / Thoracoplasty​</t>
  </si>
  <si>
    <t>Oesophagoscopy for foreign body removal​</t>
  </si>
  <si>
    <t>T18.1</t>
  </si>
  <si>
    <t>Tracheostomy​</t>
  </si>
  <si>
    <t>J95.00</t>
  </si>
  <si>
    <t>Thoracotomy for washout and rib fixation​</t>
  </si>
  <si>
    <t>S22.x</t>
  </si>
  <si>
    <t>Thoracotomy for mediastinal drainage​</t>
  </si>
  <si>
    <t>J85.2</t>
  </si>
  <si>
    <t>Bronchoscopy (Diagnostic / Therapeutic)​</t>
  </si>
  <si>
    <t>R09.89</t>
  </si>
  <si>
    <t>Biopsy (Pleura, Lung, Mediastinal)​</t>
  </si>
  <si>
    <t>Z01.6</t>
  </si>
  <si>
    <t>Sternal wound / thoracotomy wound debridement​</t>
  </si>
  <si>
    <t>T81.4</t>
  </si>
  <si>
    <t>HC/ICU</t>
  </si>
  <si>
    <t>6 Weeks</t>
  </si>
  <si>
    <t>10 Weeks</t>
  </si>
  <si>
    <t>1 Week</t>
  </si>
  <si>
    <t>3 Weeks</t>
  </si>
  <si>
    <t>Paediatric Surgery</t>
  </si>
  <si>
    <t>Neonatal surgeries (congenital defects)</t>
  </si>
  <si>
    <t>Q43.1, Q42.2, P76.0, P77, Q79</t>
  </si>
  <si>
    <t>Infant surgeries (IHPS, Intussusception…)</t>
  </si>
  <si>
    <t>Q40.0, K56.1,</t>
  </si>
  <si>
    <t>Appendicectomy &lt;12years old</t>
  </si>
  <si>
    <t>K37</t>
  </si>
  <si>
    <t>Appendicectomy &gt;12years old</t>
  </si>
  <si>
    <t>Endoscopies (airway and upper GIT)</t>
  </si>
  <si>
    <t>T17, T18.1</t>
  </si>
  <si>
    <t xml:space="preserve">Ileostomy and colostomy reversals </t>
  </si>
  <si>
    <t>P77, K56.1</t>
  </si>
  <si>
    <t>Hypospadias repair</t>
  </si>
  <si>
    <t>Q54.9</t>
  </si>
  <si>
    <t>Inguinal and umbilical hernias</t>
  </si>
  <si>
    <t>K40.9, K42.9</t>
  </si>
  <si>
    <t>Orchidopexy</t>
  </si>
  <si>
    <t>Q53.1</t>
  </si>
  <si>
    <t>Oncological surgery</t>
  </si>
  <si>
    <t>C64.9, C22.2, C74.90, D29.9</t>
  </si>
  <si>
    <t>Chemo and dialysis lines / catheter</t>
  </si>
  <si>
    <t>N17.9</t>
  </si>
  <si>
    <t>Burns &amp; Trauma</t>
  </si>
  <si>
    <t>T30.0, V03.10, Y30</t>
  </si>
  <si>
    <t>Pancteaticohepatobiliary</t>
  </si>
  <si>
    <t>P59.9, R17</t>
  </si>
  <si>
    <t>Abscesses</t>
  </si>
  <si>
    <t>L02.9, K61.9, K75.0</t>
  </si>
  <si>
    <t>T/Q</t>
  </si>
  <si>
    <t>D/C</t>
  </si>
  <si>
    <t>T</t>
  </si>
  <si>
    <t>1 week</t>
  </si>
  <si>
    <t>2 days</t>
  </si>
  <si>
    <t>2 day</t>
  </si>
  <si>
    <t>6 months</t>
  </si>
  <si>
    <t>2 weeks</t>
  </si>
  <si>
    <t>1 day</t>
  </si>
  <si>
    <t>1 month</t>
  </si>
  <si>
    <t>HC</t>
  </si>
  <si>
    <t>Surgical Gastroenterology</t>
  </si>
  <si>
    <t>Gastroscopy</t>
  </si>
  <si>
    <t>K25 TO K29</t>
  </si>
  <si>
    <t>ALL</t>
  </si>
  <si>
    <t>colonoscopy</t>
  </si>
  <si>
    <t>K62.5</t>
  </si>
  <si>
    <t>ERCP</t>
  </si>
  <si>
    <t>K 80-K87</t>
  </si>
  <si>
    <t>EUS</t>
  </si>
  <si>
    <t>K85/K86.2/K86.3</t>
  </si>
  <si>
    <t>Cholecystectomy</t>
  </si>
  <si>
    <t>K80-K81</t>
  </si>
  <si>
    <t>Bile duct exploration</t>
  </si>
  <si>
    <t>Hepatectomy</t>
  </si>
  <si>
    <t>C22</t>
  </si>
  <si>
    <t>Pancreatoduodenectomy</t>
  </si>
  <si>
    <t>C 25.0</t>
  </si>
  <si>
    <t>Partial Pancreatectomy</t>
  </si>
  <si>
    <t>C25.1-C25.4</t>
  </si>
  <si>
    <t>Hellers Myotomy</t>
  </si>
  <si>
    <t>K22.0</t>
  </si>
  <si>
    <t>Gastrectomy</t>
  </si>
  <si>
    <t>C16</t>
  </si>
  <si>
    <t>Oessophagectomy</t>
  </si>
  <si>
    <t>Hemicolectomy</t>
  </si>
  <si>
    <t>C18</t>
  </si>
  <si>
    <t>lower anterior resection</t>
  </si>
  <si>
    <t>APR</t>
  </si>
  <si>
    <t>Haemorroidectomy</t>
  </si>
  <si>
    <t>K62.5/K64</t>
  </si>
  <si>
    <t>Peranal fistula</t>
  </si>
  <si>
    <t>K60</t>
  </si>
  <si>
    <t>Appendicitis</t>
  </si>
  <si>
    <t>K35-K38</t>
  </si>
  <si>
    <t>perfortaed peptic ulcer</t>
  </si>
  <si>
    <t>K26.1-K26.9</t>
  </si>
  <si>
    <t>R/T</t>
  </si>
  <si>
    <t>4-6 weeks</t>
  </si>
  <si>
    <t>&lt;week</t>
  </si>
  <si>
    <t>1-2 weeks</t>
  </si>
  <si>
    <t>6-8 weeks</t>
  </si>
  <si>
    <t>4weeks</t>
  </si>
  <si>
    <t>8 weeks</t>
  </si>
  <si>
    <t>72 hrs</t>
  </si>
  <si>
    <t>72hrs</t>
  </si>
  <si>
    <t>Surgery</t>
  </si>
  <si>
    <t>Colostomy reversal</t>
  </si>
  <si>
    <t>Z93.3</t>
  </si>
  <si>
    <t>All</t>
  </si>
  <si>
    <t>Ileostomy reversal</t>
  </si>
  <si>
    <t>Z93.2</t>
  </si>
  <si>
    <t>Inguinal hernia repair</t>
  </si>
  <si>
    <t>K40.9</t>
  </si>
  <si>
    <t>Umbilical hernia repair</t>
  </si>
  <si>
    <t>K42.9</t>
  </si>
  <si>
    <t>Ventral/incisional hernia repair</t>
  </si>
  <si>
    <t>K43.2</t>
  </si>
  <si>
    <t>Laparoscopic cholecystectomy</t>
  </si>
  <si>
    <t>K80</t>
  </si>
  <si>
    <t>Skin graft</t>
  </si>
  <si>
    <t>Lipoma excision</t>
  </si>
  <si>
    <t>D17</t>
  </si>
  <si>
    <t>Sebaceous cyst excision</t>
  </si>
  <si>
    <t>L72.3</t>
  </si>
  <si>
    <t>Fibroadenoma excision</t>
  </si>
  <si>
    <t>D24</t>
  </si>
  <si>
    <t>D/R</t>
  </si>
  <si>
    <t xml:space="preserve">1 year </t>
  </si>
  <si>
    <t>?HC</t>
  </si>
  <si>
    <t>?HC / ?ICU</t>
  </si>
  <si>
    <t>ENT</t>
  </si>
  <si>
    <t>Adenoidectomy and Tonsillectomy</t>
  </si>
  <si>
    <t>J35.3/J35.2</t>
  </si>
  <si>
    <t>Myringotomy and Grommets</t>
  </si>
  <si>
    <t>H65.9/H66.0</t>
  </si>
  <si>
    <t>Head and Neck Infections and abscesses</t>
  </si>
  <si>
    <t>L02.1/J39.0/J39.1</t>
  </si>
  <si>
    <t>Microdirect Laryngoscopy and Laser Therapy</t>
  </si>
  <si>
    <t>Q31.1/J95.5/J38</t>
  </si>
  <si>
    <t>Panedoscopy and Biospy</t>
  </si>
  <si>
    <t>D02.0/D38.0/C32.0</t>
  </si>
  <si>
    <t>Congenital Cysts excision</t>
  </si>
  <si>
    <t>Q38/Q18/Q89.2</t>
  </si>
  <si>
    <t>Head and Neck Tumour Resection(Malignant)</t>
  </si>
  <si>
    <t>C76.0/C77.0</t>
  </si>
  <si>
    <t>Head and Neck Tumour Resection(Benign)</t>
  </si>
  <si>
    <t>K11.2/K11.9</t>
  </si>
  <si>
    <t>Chronic Mastoidectomy</t>
  </si>
  <si>
    <t>H70.0/</t>
  </si>
  <si>
    <t>Acute Mastoidectomy</t>
  </si>
  <si>
    <t>H71/H70.0/G06.2</t>
  </si>
  <si>
    <t>Frontoethmoidectomy/FESS</t>
  </si>
  <si>
    <t>H05.01/J01/ B46.1</t>
  </si>
  <si>
    <t>D/R/T</t>
  </si>
  <si>
    <t>2 Months</t>
  </si>
  <si>
    <t>3 Months</t>
  </si>
  <si>
    <t>2 Month</t>
  </si>
  <si>
    <t>0=EMERGENCY</t>
  </si>
  <si>
    <t>0=Emergency</t>
  </si>
  <si>
    <t>1 Week/0=Emergency</t>
  </si>
  <si>
    <t>Ellective Upper GIT</t>
  </si>
  <si>
    <t xml:space="preserve">Speciality </t>
  </si>
  <si>
    <t>oesophagectomy for cancer</t>
  </si>
  <si>
    <t>C15.9</t>
  </si>
  <si>
    <t>gastrectomy for cancer</t>
  </si>
  <si>
    <t>C16.9</t>
  </si>
  <si>
    <t>Oesophagectmy - chronic Benign disease</t>
  </si>
  <si>
    <t>K22.2/T54.9</t>
  </si>
  <si>
    <t>Gastrectomy or bypass for bening disease - chronic</t>
  </si>
  <si>
    <t>K31.1/ K27.7/ T54.9</t>
  </si>
  <si>
    <t>Antireflux Procedures laparascopic</t>
  </si>
  <si>
    <t>K21.9/K21.0/K44.9</t>
  </si>
  <si>
    <t>diaphragmatic hernia repair</t>
  </si>
  <si>
    <t>K44.9</t>
  </si>
  <si>
    <t xml:space="preserve">Gastric Bypass - complete obstruction </t>
  </si>
  <si>
    <t>K31.1/ K27.7/C16.9</t>
  </si>
  <si>
    <t>Hellers myotomy - laparoscopic</t>
  </si>
  <si>
    <t>interventional Endoscopic procedures</t>
  </si>
  <si>
    <t>K22.0/K22.1/K22.7 / K31.1</t>
  </si>
  <si>
    <t>Feeding Gastrostomy - PEG or Open</t>
  </si>
  <si>
    <t>E46</t>
  </si>
  <si>
    <t>Feedinf jejunostomy</t>
  </si>
  <si>
    <t xml:space="preserve">Gastroscopy </t>
  </si>
  <si>
    <t>various</t>
  </si>
  <si>
    <t xml:space="preserve">2 months </t>
  </si>
  <si>
    <t xml:space="preserve">6 months </t>
  </si>
  <si>
    <t xml:space="preserve">1 month </t>
  </si>
  <si>
    <t>General Surgery</t>
  </si>
  <si>
    <t>Total Abdominal Hysterectomy</t>
  </si>
  <si>
    <t>K80.2</t>
  </si>
  <si>
    <t>Laparoscopic Salpingectomy for Ectopic Pregnancy</t>
  </si>
  <si>
    <t>O00.9</t>
  </si>
  <si>
    <t>Caesarian Section (Elective)</t>
  </si>
  <si>
    <t>O82.0</t>
  </si>
  <si>
    <t>Diagnostic Dilatation and Curettage</t>
  </si>
  <si>
    <t>N85.0, N95.0, R10.2</t>
  </si>
  <si>
    <t>Caesarian Section (Emergency)</t>
  </si>
  <si>
    <t>O82.1</t>
  </si>
  <si>
    <t>Open (Laparotomy) Myomectomy</t>
  </si>
  <si>
    <t>D25.1</t>
  </si>
  <si>
    <t>Bilateral Salpingectomy (Sterilization)</t>
  </si>
  <si>
    <t>Z30.2</t>
  </si>
  <si>
    <t>Radical Hysterectomy for Cervical Cancer</t>
  </si>
  <si>
    <t>C53.1, C53.8</t>
  </si>
  <si>
    <t>Hysterectomy for Endometrial Cancer</t>
  </si>
  <si>
    <t>C54.1</t>
  </si>
  <si>
    <t>Laparotomy, Total Hysterectomy, and Bilateral Salingo-Oophorectomy for Ovarian Cancer</t>
  </si>
  <si>
    <t>C56</t>
  </si>
  <si>
    <t>Evacuation of the uterus (Miscarriage)</t>
  </si>
  <si>
    <t>O03.4, O02.1, O04.4</t>
  </si>
  <si>
    <t>14 days</t>
  </si>
  <si>
    <t>5 months</t>
  </si>
  <si>
    <t>4 months</t>
  </si>
  <si>
    <t xml:space="preserve">4 months </t>
  </si>
  <si>
    <t xml:space="preserve">All </t>
  </si>
  <si>
    <t>Endocrine Surgery</t>
  </si>
  <si>
    <t>Thyroid lobectomy</t>
  </si>
  <si>
    <t>E00 - E07</t>
  </si>
  <si>
    <t>Total thyroidectomy (Benign)</t>
  </si>
  <si>
    <t>Total thyroidectomy (Malignant)</t>
  </si>
  <si>
    <t>Total thyroidectomy with retrosternal extension</t>
  </si>
  <si>
    <t>Total thyroidectomy and lymphadenectomy</t>
  </si>
  <si>
    <t>Parathyroidectomy (s-calcium &lt;3.0mmol)</t>
  </si>
  <si>
    <t xml:space="preserve">E20, E21, E75.0  </t>
  </si>
  <si>
    <t xml:space="preserve">Parathyroidectomy (s-calcium &gt;2.9mmol/l) </t>
  </si>
  <si>
    <t xml:space="preserve"> Subtotal parathyroidectomy</t>
  </si>
  <si>
    <t>Adrenelectomy</t>
  </si>
  <si>
    <t>E24, E25, E26, E27, C74, D35, D44.1</t>
  </si>
  <si>
    <t>1 Month</t>
  </si>
  <si>
    <t>1 Months</t>
  </si>
  <si>
    <t>Plastic &amp; Reconstructive Surgery</t>
  </si>
  <si>
    <t>Head &amp; Neck Reconstruction</t>
  </si>
  <si>
    <t>Skin Cancer Wide Local Excision</t>
  </si>
  <si>
    <t>Benign soft tissue lumps</t>
  </si>
  <si>
    <t>D17.1/D21</t>
  </si>
  <si>
    <t>Breast Reconstruction</t>
  </si>
  <si>
    <t>C50</t>
  </si>
  <si>
    <t>Breast Reduction</t>
  </si>
  <si>
    <t>N62</t>
  </si>
  <si>
    <t>Keloid Excision</t>
  </si>
  <si>
    <t>L90.5/L91.0/L73.0</t>
  </si>
  <si>
    <t>Cleft Lip Repair</t>
  </si>
  <si>
    <t>Q36</t>
  </si>
  <si>
    <t>Cleft Palate Repair</t>
  </si>
  <si>
    <t>Q35</t>
  </si>
  <si>
    <t>Burn Reconstruction</t>
  </si>
  <si>
    <t>M24.5</t>
  </si>
  <si>
    <t xml:space="preserve">Congenital Hand Conditions </t>
  </si>
  <si>
    <t>Q68.1</t>
  </si>
  <si>
    <t>Wound Closure</t>
  </si>
  <si>
    <t>T14.8</t>
  </si>
  <si>
    <t>C/T</t>
  </si>
  <si>
    <t>6 Months</t>
  </si>
  <si>
    <t>Trauma</t>
  </si>
  <si>
    <t>Incisional hernia repair - tissue</t>
  </si>
  <si>
    <t>Incisional hernia repair - mesh</t>
  </si>
  <si>
    <t>Incisional hernia repair - component separation</t>
  </si>
  <si>
    <t>Reversal of loop colostomy</t>
  </si>
  <si>
    <t>Reversal of ileostomy</t>
  </si>
  <si>
    <t>Reversal of Hartmann's procedure</t>
  </si>
  <si>
    <t>Thoracotomy for decortication</t>
  </si>
  <si>
    <t>Tracheostomy</t>
  </si>
  <si>
    <t>Video-assisted thoracoscopic surgery</t>
  </si>
  <si>
    <t>C</t>
  </si>
  <si>
    <t>12 months</t>
  </si>
  <si>
    <t>9 months</t>
  </si>
  <si>
    <t>7 days</t>
  </si>
  <si>
    <t xml:space="preserve">Orthopaedic </t>
  </si>
  <si>
    <t>Arthroplasty(hip&amp;knee primary,revisions&amp; sepsis)</t>
  </si>
  <si>
    <t>M17,M87, T84</t>
  </si>
  <si>
    <t>Foot and Ankle(degenarative, acqiured&amp; sports)</t>
  </si>
  <si>
    <t>M20,</t>
  </si>
  <si>
    <t>Paediatrics(congenital,developmental&amp; acquired)</t>
  </si>
  <si>
    <t>Q66,G80,M92</t>
  </si>
  <si>
    <t>Shoulder(Degenarative,soft tissue and sports)</t>
  </si>
  <si>
    <t>M75,M93</t>
  </si>
  <si>
    <t>Spine(Defofmity,degenarative,infection,tumour)</t>
  </si>
  <si>
    <t>M41,M47</t>
  </si>
  <si>
    <t>Sports(knee,ligaments &amp;meniscus)</t>
  </si>
  <si>
    <t>M23</t>
  </si>
  <si>
    <t>Tumour and sepsis(Benign,malignat,osteomyelitis)</t>
  </si>
  <si>
    <t>M86,C40,C79</t>
  </si>
  <si>
    <t>Trauma ,dislocations and septic arthristis</t>
  </si>
  <si>
    <t xml:space="preserve">S codes </t>
  </si>
  <si>
    <t>6 month</t>
  </si>
  <si>
    <t>18 months</t>
  </si>
  <si>
    <t>24 months</t>
  </si>
  <si>
    <t>36 months</t>
  </si>
  <si>
    <t>Transplant Surgery</t>
  </si>
  <si>
    <t>Removal of perm cath</t>
  </si>
  <si>
    <t>Z45.2</t>
  </si>
  <si>
    <t>Perm Cath placement</t>
  </si>
  <si>
    <t>Z49.01</t>
  </si>
  <si>
    <t>Peritoneal Dialysis Catheter Removal</t>
  </si>
  <si>
    <t>Z49.02</t>
  </si>
  <si>
    <t xml:space="preserve">Peritoneal Dialysis Catheter Placement </t>
  </si>
  <si>
    <t>Removal of ureteric stent post Renal Transplant</t>
  </si>
  <si>
    <t>Z46.6</t>
  </si>
  <si>
    <t xml:space="preserve">Renal Transplant </t>
  </si>
  <si>
    <t>Z94.0</t>
  </si>
  <si>
    <t xml:space="preserve">Hernia repair in the transplant patient </t>
  </si>
  <si>
    <t xml:space="preserve">Biliary stent removal in liver transplant patient </t>
  </si>
  <si>
    <t>Z46.8</t>
  </si>
  <si>
    <t xml:space="preserve">**** - depends on organ availability </t>
  </si>
  <si>
    <t>Colorectal Surgery</t>
  </si>
  <si>
    <t>haemorrhoidhectomy</t>
  </si>
  <si>
    <t>k64</t>
  </si>
  <si>
    <t>lateral sphincterotomy</t>
  </si>
  <si>
    <t>k60.1</t>
  </si>
  <si>
    <t>anal fistulotomy/fistulectomy</t>
  </si>
  <si>
    <t>k60.3</t>
  </si>
  <si>
    <t>rectovaginal fistula surgery</t>
  </si>
  <si>
    <t>N82.3</t>
  </si>
  <si>
    <t>rectal prolapse surgery</t>
  </si>
  <si>
    <t>k62.3</t>
  </si>
  <si>
    <t>anal sphinteroplasty</t>
  </si>
  <si>
    <t>0DQR0ZZ</t>
  </si>
  <si>
    <t>cauterization perianal warts</t>
  </si>
  <si>
    <t>A63.0</t>
  </si>
  <si>
    <t>creation of stoma</t>
  </si>
  <si>
    <t>local reversal stoma</t>
  </si>
  <si>
    <t>Z98.89</t>
  </si>
  <si>
    <t>reversal hartmann's procedure</t>
  </si>
  <si>
    <t>OWQFXZ2</t>
  </si>
  <si>
    <t>colectomies(left/right/total)</t>
  </si>
  <si>
    <t>Z90.49</t>
  </si>
  <si>
    <t xml:space="preserve">proctocolectomy </t>
  </si>
  <si>
    <t>H04.2</t>
  </si>
  <si>
    <t xml:space="preserve">anterior resection </t>
  </si>
  <si>
    <t>H33.6</t>
  </si>
  <si>
    <t xml:space="preserve">abdominoperineal resection </t>
  </si>
  <si>
    <t>0DTP7ZZ</t>
  </si>
  <si>
    <t>D</t>
  </si>
  <si>
    <t>R/C</t>
  </si>
  <si>
    <t>1 months</t>
  </si>
  <si>
    <t>Breast</t>
  </si>
  <si>
    <t>mastectomy and lymph node dissection</t>
  </si>
  <si>
    <t>Tumor excision and lymph node dissection</t>
  </si>
  <si>
    <t>fibroadenoma excision</t>
  </si>
  <si>
    <t>microductectomy</t>
  </si>
  <si>
    <t>C64.52</t>
  </si>
  <si>
    <t>subcutanous mastectomy for gynaecomastia</t>
  </si>
  <si>
    <t>1.5 Months</t>
  </si>
  <si>
    <t>Skin and Soft tissue</t>
  </si>
  <si>
    <t>melanoma excision</t>
  </si>
  <si>
    <t>C43</t>
  </si>
  <si>
    <t>lipoma excision</t>
  </si>
  <si>
    <t>D17.9</t>
  </si>
  <si>
    <t>lower limb Sarcoma</t>
  </si>
  <si>
    <t>C94.6</t>
  </si>
  <si>
    <t>3 weeks</t>
  </si>
  <si>
    <t>Endocrine</t>
  </si>
  <si>
    <t xml:space="preserve">Total Thyroidectomy </t>
  </si>
  <si>
    <t>Z85.850, Z13.1</t>
  </si>
  <si>
    <t>thyroid lobectomy</t>
  </si>
  <si>
    <t>Z13.1</t>
  </si>
  <si>
    <t>parathyroid excision</t>
  </si>
  <si>
    <t>E21</t>
  </si>
  <si>
    <t>adrenal gland adenoma excision</t>
  </si>
  <si>
    <t>C74</t>
  </si>
  <si>
    <t>6 Month</t>
  </si>
  <si>
    <t>Laparoscopic inguinal hernia repair</t>
  </si>
  <si>
    <t>K40</t>
  </si>
  <si>
    <t>Open inguinal hernia repair</t>
  </si>
  <si>
    <t>Z90.48</t>
  </si>
  <si>
    <t>Ophthalmology</t>
  </si>
  <si>
    <t>Cataract surgery</t>
  </si>
  <si>
    <t>H25.9</t>
  </si>
  <si>
    <t xml:space="preserve">Rhegmatogenous retinal detachmemnt </t>
  </si>
  <si>
    <t>H33.0</t>
  </si>
  <si>
    <t>Tractional retinal detachmemt (Diabetic)</t>
  </si>
  <si>
    <t>H36.0</t>
  </si>
  <si>
    <t>Macular Hole &amp; Epiretinal membranes</t>
  </si>
  <si>
    <t>H35.0</t>
  </si>
  <si>
    <t>Paediatric cataract</t>
  </si>
  <si>
    <t>H26.0</t>
  </si>
  <si>
    <t>Squint</t>
  </si>
  <si>
    <t>H50</t>
  </si>
  <si>
    <t>Ptosis Repair</t>
  </si>
  <si>
    <t>H02.4</t>
  </si>
  <si>
    <t>Glaucoma Surgery (Paeds Glaucoma)</t>
  </si>
  <si>
    <t>H40.9</t>
  </si>
  <si>
    <t>Glaucoma Surgery (Adult Glaucoma)</t>
  </si>
  <si>
    <t>H40.1</t>
  </si>
  <si>
    <t>Corneal Transplant</t>
  </si>
  <si>
    <t>H18.6</t>
  </si>
  <si>
    <t>Ectropion Repair</t>
  </si>
  <si>
    <t>H02.1</t>
  </si>
  <si>
    <t>Entropion Repair</t>
  </si>
  <si>
    <t>H02.0</t>
  </si>
  <si>
    <t>Orbital Decompression</t>
  </si>
  <si>
    <t>H05.2</t>
  </si>
  <si>
    <t>Maxillo-Facial &amp; Oral Surgery</t>
  </si>
  <si>
    <t>Surgical removal of Impacted Teeth</t>
  </si>
  <si>
    <t>K01.1</t>
  </si>
  <si>
    <t>Head and Neck Infections</t>
  </si>
  <si>
    <t>K04.7, K04.6, K12.2</t>
  </si>
  <si>
    <t>Craniofacial Trauma</t>
  </si>
  <si>
    <t xml:space="preserve">S02.60, S02.61, S02.40, S02.41, S02.30, </t>
  </si>
  <si>
    <t>Dento-facial Implants</t>
  </si>
  <si>
    <t>K08.1, K08.8, K08.9</t>
  </si>
  <si>
    <t>Orthognathic Surgery</t>
  </si>
  <si>
    <t>K07.0, K07.2, K07.4, K07.9, K07.9, K0</t>
  </si>
  <si>
    <t>Maxillo-facial and Oral Tumour Resection</t>
  </si>
  <si>
    <t>D10.3, K10.8, K10.9</t>
  </si>
  <si>
    <t>Bone Graft: Jaw Reconstruction</t>
  </si>
  <si>
    <t>K08.1, K08.2</t>
  </si>
  <si>
    <t>Enucleation of Jaw Cystic Lesions</t>
  </si>
  <si>
    <t>K09.0, K09.1, K09.2, K09.8, K09.9</t>
  </si>
  <si>
    <t>Temporomandibular Joint Surgery and Reconstruction</t>
  </si>
  <si>
    <t>K07.6</t>
  </si>
  <si>
    <t>Cleft lip and Palate Secondary alveolar bone graft</t>
  </si>
  <si>
    <t>Q37,1; Q37.4; Q37.5</t>
  </si>
  <si>
    <t>1-2 Months</t>
  </si>
  <si>
    <t>1 Year</t>
  </si>
  <si>
    <t>4 Months</t>
  </si>
  <si>
    <t>Vascular Surgery</t>
  </si>
  <si>
    <t>peripheral varterial disease (endovascular/open intervention)</t>
  </si>
  <si>
    <t>I70.21</t>
  </si>
  <si>
    <t>Carotid artery (endarterectomy/stenting)</t>
  </si>
  <si>
    <t>I65.2</t>
  </si>
  <si>
    <t>Varicose vein open intervention</t>
  </si>
  <si>
    <t>I83.1</t>
  </si>
  <si>
    <t>Varicose vein endovenous intervention</t>
  </si>
  <si>
    <t>Aortic Aneurysm/Dissection (open/endovascular)</t>
  </si>
  <si>
    <t>I71</t>
  </si>
  <si>
    <t>Aortic occlusive disease (open/endovacular)</t>
  </si>
  <si>
    <t>Vascular trauma open intervention</t>
  </si>
  <si>
    <t>Vascular trauma endovascular intervention</t>
  </si>
  <si>
    <t>carotid body tumour removal</t>
  </si>
  <si>
    <t>D35.5</t>
  </si>
  <si>
    <t>Dialysis access (catheters, av fistula, peritoneal dialysis)</t>
  </si>
  <si>
    <t>N19.5</t>
  </si>
  <si>
    <t xml:space="preserve">deep venous system stenosis/occlusion </t>
  </si>
  <si>
    <t>Spinal cord compression</t>
  </si>
  <si>
    <t>Emergency MRI within 24 hours inpatient; Outpatient MRI one year waiting list</t>
  </si>
  <si>
    <t>Speciality - Burn care</t>
  </si>
  <si>
    <t>Compartment Release - Fasciotomies/Escharotomies</t>
  </si>
  <si>
    <t>Burn Scrubdown</t>
  </si>
  <si>
    <t>Skin Substitutes in Acute Burns</t>
  </si>
  <si>
    <t>Burn Excision</t>
  </si>
  <si>
    <t>Burn Debridement</t>
  </si>
  <si>
    <t>Skin Graft</t>
  </si>
  <si>
    <t>Contracture Release - Vital Regions(e.g. Ectropion)</t>
  </si>
  <si>
    <t>Contracture Release - Other Regions</t>
  </si>
  <si>
    <t>T79.A</t>
  </si>
  <si>
    <t>Y27.8, T29</t>
  </si>
  <si>
    <t>48 hours</t>
  </si>
  <si>
    <t>3 Days</t>
  </si>
  <si>
    <t>7 Days</t>
  </si>
  <si>
    <t>10 Days</t>
  </si>
  <si>
    <t>3 month</t>
  </si>
  <si>
    <t>TTGs Days</t>
  </si>
  <si>
    <t>2nd Alert = 90% of TTG</t>
  </si>
  <si>
    <t>1st Minimum = 70% of TTG</t>
  </si>
  <si>
    <t>Obstetrics &amp; Gynaecology</t>
  </si>
  <si>
    <r>
      <rPr>
        <b/>
        <sz val="14"/>
        <color theme="3" tint="0.249977111117893"/>
        <rFont val="Aptos Narrow"/>
        <family val="2"/>
        <scheme val="minor"/>
      </rPr>
      <t>KEY LESSONS LEARNED FROM PRIOR INITIATIVES</t>
    </r>
    <r>
      <rPr>
        <sz val="11"/>
        <color theme="3" tint="0.249977111117893"/>
        <rFont val="Aptos Narrow"/>
        <family val="2"/>
        <scheme val="minor"/>
      </rPr>
      <t xml:space="preserve">
</t>
    </r>
    <r>
      <rPr>
        <b/>
        <sz val="11"/>
        <color theme="3" tint="0.249977111117893"/>
        <rFont val="Aptos Narrow"/>
        <family val="2"/>
        <scheme val="minor"/>
      </rPr>
      <t xml:space="preserve">      * The absence of a unified strategic objective for surgical waiting lists and patients on backlogs.
      * The absence of standardized definitions and classification protocols across all surgical disciplines.
      * Ineffective prioritization and procedure scheduling.
      * No mechanism for routine database consolidation aligned to procedures completed
      * Limited theatre capacity intelligence and utilization analysis.
     * No centralized digital scheduling procedures, processes and practices.
      * Undefined terminology from the patient's transition between "waiting list" databases to "backlog" databases. 
      * Poor data governance procedures due to incoherent capturing and reporting.
      * No KPI tracking and routine submissions of audit-ready facility-based portfolios of evidence (POE).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</si>
</sst>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4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wrapText="1"/>
    </xf>
    <xf numFmtId="1" fontId="0" fillId="0" borderId="0" xfId="0" applyNumberFormat="1" applyAlignment="1">
      <alignment horizontal="center"/>
    </xf>
    <xf numFmtId="1" fontId="6" fillId="0" borderId="0" xfId="0" applyNumberFormat="1" applyFont="1" applyAlignment="1">
      <alignment horizontal="center" wrapText="1"/>
    </xf>
    <xf numFmtId="1" fontId="1" fillId="0" borderId="0" xfId="0" quotePrefix="1" applyNumberFormat="1" applyFont="1" applyAlignment="1">
      <alignment horizontal="center" vertical="center" wrapText="1"/>
    </xf>
    <xf numFmtId="0" fontId="8" fillId="0" borderId="0" xfId="0" applyFont="1"/>
    <xf numFmtId="1" fontId="8" fillId="0" borderId="0" xfId="0" applyNumberFormat="1" applyFont="1" applyAlignment="1">
      <alignment horizontal="center"/>
    </xf>
    <xf numFmtId="1" fontId="8" fillId="0" borderId="0" xfId="0" quotePrefix="1" applyNumberFormat="1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1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F317-9DD9-405A-ACD1-D343E875DE89}">
  <dimension ref="A1:J270"/>
  <sheetViews>
    <sheetView tabSelected="1" zoomScale="80" zoomScaleNormal="80" workbookViewId="0">
      <selection sqref="A1:I10"/>
    </sheetView>
  </sheetViews>
  <sheetFormatPr defaultRowHeight="14.5" x14ac:dyDescent="0.35"/>
  <cols>
    <col min="1" max="1" width="21.81640625" customWidth="1"/>
    <col min="2" max="2" width="52" customWidth="1"/>
    <col min="3" max="3" width="26.90625" customWidth="1"/>
    <col min="4" max="4" width="12.81640625" customWidth="1"/>
    <col min="5" max="5" width="12.453125" customWidth="1"/>
    <col min="6" max="6" width="33.1796875" customWidth="1"/>
    <col min="7" max="7" width="15.453125" style="12" customWidth="1"/>
    <col min="8" max="8" width="27.81640625" style="12" customWidth="1"/>
    <col min="9" max="9" width="26.6328125" style="8" customWidth="1"/>
    <col min="10" max="10" width="26" customWidth="1"/>
  </cols>
  <sheetData>
    <row r="1" spans="1:10" s="21" customFormat="1" x14ac:dyDescent="0.35">
      <c r="A1" s="22" t="s">
        <v>543</v>
      </c>
      <c r="B1" s="20"/>
      <c r="C1" s="20"/>
      <c r="D1" s="20"/>
      <c r="E1" s="20"/>
      <c r="F1" s="20"/>
      <c r="G1" s="20"/>
      <c r="H1" s="20"/>
      <c r="I1" s="20"/>
    </row>
    <row r="2" spans="1:10" s="21" customFormat="1" x14ac:dyDescent="0.35">
      <c r="A2" s="20"/>
      <c r="B2" s="20"/>
      <c r="C2" s="20"/>
      <c r="D2" s="20"/>
      <c r="E2" s="20"/>
      <c r="F2" s="20"/>
      <c r="G2" s="20"/>
      <c r="H2" s="20"/>
      <c r="I2" s="20"/>
    </row>
    <row r="3" spans="1:10" s="21" customFormat="1" x14ac:dyDescent="0.35">
      <c r="A3" s="20"/>
      <c r="B3" s="20"/>
      <c r="C3" s="20"/>
      <c r="D3" s="20"/>
      <c r="E3" s="20"/>
      <c r="F3" s="20"/>
      <c r="G3" s="20"/>
      <c r="H3" s="20"/>
      <c r="I3" s="20"/>
    </row>
    <row r="4" spans="1:10" s="21" customFormat="1" x14ac:dyDescent="0.35">
      <c r="A4" s="20"/>
      <c r="B4" s="20"/>
      <c r="C4" s="20"/>
      <c r="D4" s="20"/>
      <c r="E4" s="20"/>
      <c r="F4" s="20"/>
      <c r="G4" s="20"/>
      <c r="H4" s="20"/>
      <c r="I4" s="20"/>
    </row>
    <row r="5" spans="1:10" s="21" customFormat="1" x14ac:dyDescent="0.35">
      <c r="A5" s="20"/>
      <c r="B5" s="20"/>
      <c r="C5" s="20"/>
      <c r="D5" s="20"/>
      <c r="E5" s="20"/>
      <c r="F5" s="20"/>
      <c r="G5" s="20"/>
      <c r="H5" s="20"/>
      <c r="I5" s="20"/>
    </row>
    <row r="6" spans="1:10" s="21" customFormat="1" x14ac:dyDescent="0.35">
      <c r="A6" s="20"/>
      <c r="B6" s="20"/>
      <c r="C6" s="20"/>
      <c r="D6" s="20"/>
      <c r="E6" s="20"/>
      <c r="F6" s="20"/>
      <c r="G6" s="20"/>
      <c r="H6" s="20"/>
      <c r="I6" s="20"/>
    </row>
    <row r="7" spans="1:10" s="21" customFormat="1" x14ac:dyDescent="0.35">
      <c r="A7" s="20"/>
      <c r="B7" s="20"/>
      <c r="C7" s="20"/>
      <c r="D7" s="20"/>
      <c r="E7" s="20"/>
      <c r="F7" s="20"/>
      <c r="G7" s="20"/>
      <c r="H7" s="20"/>
      <c r="I7" s="20"/>
    </row>
    <row r="8" spans="1:10" s="21" customFormat="1" x14ac:dyDescent="0.35">
      <c r="A8" s="20"/>
      <c r="B8" s="20"/>
      <c r="C8" s="20"/>
      <c r="D8" s="20"/>
      <c r="E8" s="20"/>
      <c r="F8" s="20"/>
      <c r="G8" s="20"/>
      <c r="H8" s="20"/>
      <c r="I8" s="20"/>
    </row>
    <row r="9" spans="1:10" s="21" customFormat="1" x14ac:dyDescent="0.35">
      <c r="A9" s="20"/>
      <c r="B9" s="20"/>
      <c r="C9" s="20"/>
      <c r="D9" s="20"/>
      <c r="E9" s="20"/>
      <c r="F9" s="20"/>
      <c r="G9" s="20"/>
      <c r="H9" s="20"/>
      <c r="I9" s="20"/>
    </row>
    <row r="10" spans="1:10" s="21" customFormat="1" ht="22.5" customHeight="1" x14ac:dyDescent="0.35">
      <c r="A10" s="20"/>
      <c r="B10" s="20"/>
      <c r="C10" s="20"/>
      <c r="D10" s="20"/>
      <c r="E10" s="20"/>
      <c r="F10" s="20"/>
      <c r="G10" s="20"/>
      <c r="H10" s="20"/>
      <c r="I10" s="20"/>
    </row>
    <row r="12" spans="1:10" s="5" customFormat="1" ht="16" x14ac:dyDescent="0.4">
      <c r="A12" s="4" t="s">
        <v>248</v>
      </c>
      <c r="B12" s="4" t="s">
        <v>0</v>
      </c>
      <c r="C12" s="4" t="s">
        <v>1</v>
      </c>
      <c r="D12" s="4" t="s">
        <v>2</v>
      </c>
      <c r="E12" s="4" t="s">
        <v>66</v>
      </c>
      <c r="F12" s="4" t="s">
        <v>3</v>
      </c>
      <c r="G12" s="9" t="s">
        <v>539</v>
      </c>
      <c r="H12" s="9" t="s">
        <v>541</v>
      </c>
      <c r="I12" s="7" t="s">
        <v>540</v>
      </c>
    </row>
    <row r="13" spans="1:10" x14ac:dyDescent="0.35">
      <c r="A13" t="s">
        <v>35</v>
      </c>
      <c r="B13" t="s">
        <v>4</v>
      </c>
      <c r="C13" t="s">
        <v>5</v>
      </c>
      <c r="D13" t="s">
        <v>50</v>
      </c>
      <c r="E13" t="s">
        <v>36</v>
      </c>
      <c r="F13" s="1" t="s">
        <v>37</v>
      </c>
      <c r="G13" s="10">
        <v>90</v>
      </c>
      <c r="H13" s="14">
        <f>ROUND(0.7*G13,0)</f>
        <v>63</v>
      </c>
      <c r="I13" s="8">
        <f>ROUND(0.9*G13,0)</f>
        <v>81</v>
      </c>
      <c r="J13">
        <f>L14*G13</f>
        <v>0</v>
      </c>
    </row>
    <row r="14" spans="1:10" x14ac:dyDescent="0.35">
      <c r="A14" t="s">
        <v>35</v>
      </c>
      <c r="B14" t="s">
        <v>6</v>
      </c>
      <c r="C14" t="s">
        <v>7</v>
      </c>
      <c r="D14" t="s">
        <v>50</v>
      </c>
      <c r="E14" t="s">
        <v>36</v>
      </c>
      <c r="F14" s="1" t="s">
        <v>37</v>
      </c>
      <c r="G14" s="10">
        <v>90</v>
      </c>
      <c r="H14" s="14">
        <f t="shared" ref="H14:H77" si="0">ROUND(0.7*G14,0)</f>
        <v>63</v>
      </c>
      <c r="I14" s="8">
        <f t="shared" ref="I14:I77" si="1">ROUND(0.9*G14,0)</f>
        <v>81</v>
      </c>
    </row>
    <row r="15" spans="1:10" x14ac:dyDescent="0.35">
      <c r="A15" t="s">
        <v>35</v>
      </c>
      <c r="B15" t="s">
        <v>8</v>
      </c>
      <c r="C15" t="s">
        <v>9</v>
      </c>
      <c r="D15" t="s">
        <v>50</v>
      </c>
      <c r="E15" t="s">
        <v>36</v>
      </c>
      <c r="F15" s="1" t="s">
        <v>38</v>
      </c>
      <c r="G15" s="10">
        <v>60</v>
      </c>
      <c r="H15" s="14">
        <f t="shared" si="0"/>
        <v>42</v>
      </c>
      <c r="I15" s="8">
        <f t="shared" si="1"/>
        <v>54</v>
      </c>
    </row>
    <row r="16" spans="1:10" x14ac:dyDescent="0.35">
      <c r="A16" t="s">
        <v>35</v>
      </c>
      <c r="B16" t="s">
        <v>10</v>
      </c>
      <c r="C16" t="s">
        <v>11</v>
      </c>
      <c r="D16" t="s">
        <v>50</v>
      </c>
      <c r="E16" t="s">
        <v>36</v>
      </c>
      <c r="F16" s="1" t="s">
        <v>37</v>
      </c>
      <c r="G16" s="10">
        <v>90</v>
      </c>
      <c r="H16" s="14">
        <f t="shared" si="0"/>
        <v>63</v>
      </c>
      <c r="I16" s="8">
        <f t="shared" si="1"/>
        <v>81</v>
      </c>
    </row>
    <row r="17" spans="1:9" x14ac:dyDescent="0.35">
      <c r="A17" t="s">
        <v>35</v>
      </c>
      <c r="B17" t="s">
        <v>12</v>
      </c>
      <c r="C17" t="s">
        <v>13</v>
      </c>
      <c r="D17" t="s">
        <v>50</v>
      </c>
      <c r="E17" t="s">
        <v>36</v>
      </c>
      <c r="F17" s="1" t="s">
        <v>38</v>
      </c>
      <c r="G17" s="10">
        <v>60</v>
      </c>
      <c r="H17" s="14">
        <f t="shared" si="0"/>
        <v>42</v>
      </c>
      <c r="I17" s="8">
        <f t="shared" si="1"/>
        <v>54</v>
      </c>
    </row>
    <row r="18" spans="1:9" x14ac:dyDescent="0.35">
      <c r="A18" t="s">
        <v>35</v>
      </c>
      <c r="B18" t="s">
        <v>14</v>
      </c>
      <c r="C18" t="s">
        <v>15</v>
      </c>
      <c r="D18" t="s">
        <v>50</v>
      </c>
      <c r="E18" t="s">
        <v>36</v>
      </c>
      <c r="F18" s="1" t="s">
        <v>38</v>
      </c>
      <c r="G18" s="10">
        <v>60</v>
      </c>
      <c r="H18" s="14">
        <f t="shared" si="0"/>
        <v>42</v>
      </c>
      <c r="I18" s="8">
        <f t="shared" si="1"/>
        <v>54</v>
      </c>
    </row>
    <row r="19" spans="1:9" x14ac:dyDescent="0.35">
      <c r="A19" t="s">
        <v>35</v>
      </c>
      <c r="B19" t="s">
        <v>16</v>
      </c>
      <c r="C19" t="s">
        <v>17</v>
      </c>
      <c r="D19" t="s">
        <v>50</v>
      </c>
      <c r="E19" t="s">
        <v>36</v>
      </c>
      <c r="F19" s="1" t="s">
        <v>37</v>
      </c>
      <c r="G19" s="10">
        <v>90</v>
      </c>
      <c r="H19" s="14">
        <f t="shared" si="0"/>
        <v>63</v>
      </c>
      <c r="I19" s="8">
        <f t="shared" si="1"/>
        <v>81</v>
      </c>
    </row>
    <row r="20" spans="1:9" x14ac:dyDescent="0.35">
      <c r="A20" t="s">
        <v>35</v>
      </c>
      <c r="B20" t="s">
        <v>18</v>
      </c>
      <c r="C20" t="s">
        <v>19</v>
      </c>
      <c r="D20" t="s">
        <v>50</v>
      </c>
      <c r="E20" t="s">
        <v>36</v>
      </c>
      <c r="F20" s="1" t="s">
        <v>37</v>
      </c>
      <c r="G20" s="10">
        <v>90</v>
      </c>
      <c r="H20" s="14">
        <f t="shared" si="0"/>
        <v>63</v>
      </c>
      <c r="I20" s="8">
        <f t="shared" si="1"/>
        <v>81</v>
      </c>
    </row>
    <row r="21" spans="1:9" x14ac:dyDescent="0.35">
      <c r="A21" t="s">
        <v>35</v>
      </c>
      <c r="B21" t="s">
        <v>20</v>
      </c>
      <c r="C21" t="s">
        <v>21</v>
      </c>
      <c r="D21" t="s">
        <v>50</v>
      </c>
      <c r="E21" t="s">
        <v>36</v>
      </c>
      <c r="F21" s="1" t="s">
        <v>37</v>
      </c>
      <c r="G21" s="10">
        <v>90</v>
      </c>
      <c r="H21" s="14">
        <f t="shared" si="0"/>
        <v>63</v>
      </c>
      <c r="I21" s="8">
        <f t="shared" si="1"/>
        <v>81</v>
      </c>
    </row>
    <row r="22" spans="1:9" x14ac:dyDescent="0.35">
      <c r="A22" t="s">
        <v>35</v>
      </c>
      <c r="B22" t="s">
        <v>22</v>
      </c>
      <c r="C22" t="s">
        <v>23</v>
      </c>
      <c r="D22" t="s">
        <v>50</v>
      </c>
      <c r="E22" t="s">
        <v>36</v>
      </c>
      <c r="F22" s="1" t="s">
        <v>37</v>
      </c>
      <c r="G22" s="10">
        <v>90</v>
      </c>
      <c r="H22" s="14">
        <f t="shared" si="0"/>
        <v>63</v>
      </c>
      <c r="I22" s="8">
        <f t="shared" si="1"/>
        <v>81</v>
      </c>
    </row>
    <row r="23" spans="1:9" x14ac:dyDescent="0.35">
      <c r="A23" t="s">
        <v>35</v>
      </c>
      <c r="B23" t="s">
        <v>24</v>
      </c>
      <c r="C23" t="s">
        <v>25</v>
      </c>
      <c r="D23" t="s">
        <v>50</v>
      </c>
      <c r="E23" t="s">
        <v>36</v>
      </c>
      <c r="F23" s="1" t="s">
        <v>39</v>
      </c>
      <c r="G23" s="10">
        <v>30</v>
      </c>
      <c r="H23" s="14">
        <f t="shared" si="0"/>
        <v>21</v>
      </c>
      <c r="I23" s="8">
        <f t="shared" si="1"/>
        <v>27</v>
      </c>
    </row>
    <row r="24" spans="1:9" ht="17" customHeight="1" x14ac:dyDescent="0.35">
      <c r="A24" t="s">
        <v>35</v>
      </c>
      <c r="B24" s="2" t="s">
        <v>26</v>
      </c>
      <c r="C24" t="s">
        <v>27</v>
      </c>
      <c r="D24" t="s">
        <v>50</v>
      </c>
      <c r="E24" t="s">
        <v>36</v>
      </c>
      <c r="F24" s="1" t="s">
        <v>40</v>
      </c>
      <c r="G24" s="10">
        <v>7</v>
      </c>
      <c r="H24" s="14">
        <f t="shared" si="0"/>
        <v>5</v>
      </c>
      <c r="I24" s="8">
        <f t="shared" si="1"/>
        <v>6</v>
      </c>
    </row>
    <row r="25" spans="1:9" x14ac:dyDescent="0.35">
      <c r="A25" t="s">
        <v>35</v>
      </c>
      <c r="B25" t="s">
        <v>28</v>
      </c>
      <c r="C25" t="s">
        <v>29</v>
      </c>
      <c r="D25" t="s">
        <v>50</v>
      </c>
      <c r="E25" t="s">
        <v>36</v>
      </c>
      <c r="F25" s="1" t="s">
        <v>38</v>
      </c>
      <c r="G25" s="10">
        <v>60</v>
      </c>
      <c r="H25" s="14">
        <f t="shared" si="0"/>
        <v>42</v>
      </c>
      <c r="I25" s="8">
        <f t="shared" si="1"/>
        <v>54</v>
      </c>
    </row>
    <row r="26" spans="1:9" x14ac:dyDescent="0.35">
      <c r="A26" t="s">
        <v>35</v>
      </c>
      <c r="B26" t="s">
        <v>30</v>
      </c>
      <c r="C26" t="s">
        <v>29</v>
      </c>
      <c r="D26" t="s">
        <v>50</v>
      </c>
      <c r="E26" t="s">
        <v>36</v>
      </c>
      <c r="F26" s="1" t="s">
        <v>37</v>
      </c>
      <c r="G26" s="10">
        <v>90</v>
      </c>
      <c r="H26" s="14">
        <f t="shared" si="0"/>
        <v>63</v>
      </c>
      <c r="I26" s="8">
        <f t="shared" si="1"/>
        <v>81</v>
      </c>
    </row>
    <row r="27" spans="1:9" x14ac:dyDescent="0.35">
      <c r="A27" t="s">
        <v>35</v>
      </c>
      <c r="B27" t="s">
        <v>31</v>
      </c>
      <c r="C27" t="s">
        <v>32</v>
      </c>
      <c r="D27" t="s">
        <v>50</v>
      </c>
      <c r="E27" t="s">
        <v>36</v>
      </c>
      <c r="F27" s="1" t="s">
        <v>37</v>
      </c>
      <c r="G27" s="10">
        <v>90</v>
      </c>
      <c r="H27" s="14">
        <f t="shared" si="0"/>
        <v>63</v>
      </c>
      <c r="I27" s="8">
        <f t="shared" si="1"/>
        <v>81</v>
      </c>
    </row>
    <row r="28" spans="1:9" x14ac:dyDescent="0.35">
      <c r="A28" t="s">
        <v>35</v>
      </c>
      <c r="B28" t="s">
        <v>33</v>
      </c>
      <c r="C28" t="s">
        <v>34</v>
      </c>
      <c r="D28" t="s">
        <v>50</v>
      </c>
      <c r="E28" t="s">
        <v>36</v>
      </c>
      <c r="F28" s="1" t="s">
        <v>37</v>
      </c>
      <c r="G28" s="10">
        <v>90</v>
      </c>
      <c r="H28" s="14">
        <f t="shared" si="0"/>
        <v>63</v>
      </c>
      <c r="I28" s="8">
        <f t="shared" si="1"/>
        <v>81</v>
      </c>
    </row>
    <row r="29" spans="1:9" ht="22" customHeight="1" x14ac:dyDescent="0.35">
      <c r="A29" t="s">
        <v>35</v>
      </c>
      <c r="B29" t="s">
        <v>46</v>
      </c>
      <c r="C29" t="s">
        <v>47</v>
      </c>
      <c r="D29" t="s">
        <v>50</v>
      </c>
      <c r="E29" t="s">
        <v>36</v>
      </c>
      <c r="F29" s="2" t="s">
        <v>48</v>
      </c>
      <c r="G29" s="11"/>
      <c r="H29" s="14"/>
    </row>
    <row r="30" spans="1:9" x14ac:dyDescent="0.35">
      <c r="A30" t="s">
        <v>35</v>
      </c>
      <c r="B30" t="s">
        <v>41</v>
      </c>
      <c r="C30" t="s">
        <v>42</v>
      </c>
      <c r="D30" t="s">
        <v>50</v>
      </c>
      <c r="E30" t="s">
        <v>36</v>
      </c>
      <c r="F30" t="s">
        <v>43</v>
      </c>
      <c r="G30" s="12">
        <v>7</v>
      </c>
      <c r="H30" s="14">
        <f t="shared" si="0"/>
        <v>5</v>
      </c>
      <c r="I30" s="8">
        <f t="shared" si="1"/>
        <v>6</v>
      </c>
    </row>
    <row r="31" spans="1:9" ht="20" x14ac:dyDescent="0.35">
      <c r="A31" t="s">
        <v>35</v>
      </c>
      <c r="B31" t="s">
        <v>521</v>
      </c>
      <c r="C31" t="s">
        <v>27</v>
      </c>
      <c r="D31" t="s">
        <v>50</v>
      </c>
      <c r="E31" t="s">
        <v>36</v>
      </c>
      <c r="F31" s="6" t="s">
        <v>522</v>
      </c>
      <c r="G31" s="13"/>
      <c r="H31" s="14"/>
    </row>
    <row r="32" spans="1:9" x14ac:dyDescent="0.35">
      <c r="A32" t="s">
        <v>35</v>
      </c>
      <c r="B32" t="s">
        <v>44</v>
      </c>
      <c r="C32" t="s">
        <v>45</v>
      </c>
      <c r="D32" t="s">
        <v>50</v>
      </c>
      <c r="E32" t="s">
        <v>36</v>
      </c>
      <c r="F32" t="s">
        <v>43</v>
      </c>
      <c r="G32" s="12">
        <v>7</v>
      </c>
      <c r="H32" s="14">
        <f t="shared" si="0"/>
        <v>5</v>
      </c>
      <c r="I32" s="8">
        <f t="shared" si="1"/>
        <v>6</v>
      </c>
    </row>
    <row r="33" spans="1:9" x14ac:dyDescent="0.35">
      <c r="A33" t="s">
        <v>49</v>
      </c>
      <c r="B33" t="s">
        <v>52</v>
      </c>
      <c r="C33" t="s">
        <v>53</v>
      </c>
      <c r="D33" t="s">
        <v>51</v>
      </c>
      <c r="E33" t="s">
        <v>67</v>
      </c>
      <c r="F33" t="s">
        <v>68</v>
      </c>
      <c r="G33" s="12">
        <v>60</v>
      </c>
      <c r="H33" s="14">
        <f t="shared" si="0"/>
        <v>42</v>
      </c>
      <c r="I33" s="8">
        <f t="shared" si="1"/>
        <v>54</v>
      </c>
    </row>
    <row r="34" spans="1:9" x14ac:dyDescent="0.35">
      <c r="A34" t="s">
        <v>49</v>
      </c>
      <c r="B34" t="s">
        <v>54</v>
      </c>
      <c r="C34" t="s">
        <v>55</v>
      </c>
      <c r="D34" t="s">
        <v>51</v>
      </c>
      <c r="E34" t="s">
        <v>67</v>
      </c>
      <c r="F34" t="s">
        <v>69</v>
      </c>
      <c r="G34" s="12">
        <v>120</v>
      </c>
      <c r="H34" s="14">
        <f t="shared" si="0"/>
        <v>84</v>
      </c>
      <c r="I34" s="8">
        <f t="shared" si="1"/>
        <v>108</v>
      </c>
    </row>
    <row r="35" spans="1:9" x14ac:dyDescent="0.35">
      <c r="A35" t="s">
        <v>49</v>
      </c>
      <c r="B35" t="s">
        <v>56</v>
      </c>
      <c r="C35" t="s">
        <v>57</v>
      </c>
      <c r="D35" t="s">
        <v>51</v>
      </c>
      <c r="E35" t="s">
        <v>67</v>
      </c>
      <c r="F35" t="s">
        <v>70</v>
      </c>
      <c r="G35" s="12">
        <v>105</v>
      </c>
      <c r="H35" s="14">
        <f t="shared" si="0"/>
        <v>74</v>
      </c>
      <c r="I35" s="8">
        <f t="shared" si="1"/>
        <v>95</v>
      </c>
    </row>
    <row r="36" spans="1:9" x14ac:dyDescent="0.35">
      <c r="A36" t="s">
        <v>49</v>
      </c>
      <c r="B36" t="s">
        <v>58</v>
      </c>
      <c r="C36" t="s">
        <v>59</v>
      </c>
      <c r="D36" t="s">
        <v>51</v>
      </c>
      <c r="E36" t="s">
        <v>67</v>
      </c>
      <c r="F36" t="s">
        <v>71</v>
      </c>
      <c r="G36" s="12">
        <v>15</v>
      </c>
      <c r="H36" s="14">
        <f t="shared" si="0"/>
        <v>11</v>
      </c>
      <c r="I36" s="8">
        <f t="shared" si="1"/>
        <v>14</v>
      </c>
    </row>
    <row r="37" spans="1:9" x14ac:dyDescent="0.35">
      <c r="A37" t="s">
        <v>49</v>
      </c>
      <c r="B37" t="s">
        <v>60</v>
      </c>
      <c r="C37" t="s">
        <v>61</v>
      </c>
      <c r="D37" t="s">
        <v>51</v>
      </c>
      <c r="E37" t="s">
        <v>67</v>
      </c>
      <c r="F37" t="s">
        <v>72</v>
      </c>
      <c r="G37" s="12">
        <v>30</v>
      </c>
      <c r="H37" s="14">
        <f t="shared" si="0"/>
        <v>21</v>
      </c>
      <c r="I37" s="8">
        <f t="shared" si="1"/>
        <v>27</v>
      </c>
    </row>
    <row r="38" spans="1:9" x14ac:dyDescent="0.35">
      <c r="A38" t="s">
        <v>49</v>
      </c>
      <c r="B38" t="s">
        <v>62</v>
      </c>
      <c r="C38" t="s">
        <v>63</v>
      </c>
      <c r="D38" t="s">
        <v>51</v>
      </c>
      <c r="E38" t="s">
        <v>67</v>
      </c>
      <c r="F38" t="s">
        <v>245</v>
      </c>
      <c r="H38" s="14"/>
    </row>
    <row r="39" spans="1:9" x14ac:dyDescent="0.35">
      <c r="A39" t="s">
        <v>49</v>
      </c>
      <c r="B39" t="s">
        <v>64</v>
      </c>
      <c r="C39" t="s">
        <v>65</v>
      </c>
      <c r="D39" t="s">
        <v>51</v>
      </c>
      <c r="E39" t="s">
        <v>67</v>
      </c>
      <c r="F39" t="s">
        <v>72</v>
      </c>
      <c r="G39" s="12">
        <v>30</v>
      </c>
      <c r="H39" s="14">
        <f t="shared" si="0"/>
        <v>21</v>
      </c>
      <c r="I39" s="8">
        <f t="shared" si="1"/>
        <v>27</v>
      </c>
    </row>
    <row r="40" spans="1:9" x14ac:dyDescent="0.35">
      <c r="A40" t="s">
        <v>74</v>
      </c>
      <c r="B40" t="s">
        <v>75</v>
      </c>
      <c r="C40" t="s">
        <v>76</v>
      </c>
      <c r="D40" t="s">
        <v>51</v>
      </c>
      <c r="E40" t="s">
        <v>67</v>
      </c>
      <c r="F40" t="s">
        <v>104</v>
      </c>
      <c r="G40" s="12">
        <v>45</v>
      </c>
      <c r="H40" s="14">
        <f t="shared" si="0"/>
        <v>32</v>
      </c>
      <c r="I40" s="8">
        <f t="shared" si="1"/>
        <v>41</v>
      </c>
    </row>
    <row r="41" spans="1:9" x14ac:dyDescent="0.35">
      <c r="A41" t="s">
        <v>74</v>
      </c>
      <c r="B41" t="s">
        <v>77</v>
      </c>
      <c r="C41" t="s">
        <v>78</v>
      </c>
      <c r="D41" t="s">
        <v>51</v>
      </c>
      <c r="E41" t="s">
        <v>146</v>
      </c>
      <c r="F41" t="s">
        <v>68</v>
      </c>
      <c r="G41" s="12">
        <v>60</v>
      </c>
      <c r="H41" s="14">
        <f t="shared" si="0"/>
        <v>42</v>
      </c>
      <c r="I41" s="8">
        <f t="shared" si="1"/>
        <v>54</v>
      </c>
    </row>
    <row r="42" spans="1:9" x14ac:dyDescent="0.35">
      <c r="A42" t="s">
        <v>74</v>
      </c>
      <c r="B42" t="s">
        <v>79</v>
      </c>
      <c r="C42" t="s">
        <v>78</v>
      </c>
      <c r="D42" t="s">
        <v>51</v>
      </c>
      <c r="E42" t="s">
        <v>67</v>
      </c>
      <c r="F42" t="s">
        <v>105</v>
      </c>
      <c r="G42" s="12">
        <v>75</v>
      </c>
      <c r="H42" s="14">
        <f t="shared" si="0"/>
        <v>53</v>
      </c>
      <c r="I42" s="8">
        <f t="shared" si="1"/>
        <v>68</v>
      </c>
    </row>
    <row r="43" spans="1:9" x14ac:dyDescent="0.35">
      <c r="A43" t="s">
        <v>74</v>
      </c>
      <c r="B43" t="s">
        <v>80</v>
      </c>
      <c r="C43" t="s">
        <v>81</v>
      </c>
      <c r="D43" t="s">
        <v>51</v>
      </c>
      <c r="E43" t="s">
        <v>146</v>
      </c>
      <c r="F43" t="s">
        <v>68</v>
      </c>
      <c r="G43" s="12">
        <v>60</v>
      </c>
      <c r="H43" s="14">
        <f t="shared" si="0"/>
        <v>42</v>
      </c>
      <c r="I43" s="8">
        <f t="shared" si="1"/>
        <v>54</v>
      </c>
    </row>
    <row r="44" spans="1:9" x14ac:dyDescent="0.35">
      <c r="A44" t="s">
        <v>74</v>
      </c>
      <c r="B44" t="s">
        <v>82</v>
      </c>
      <c r="C44" t="s">
        <v>83</v>
      </c>
      <c r="D44" t="s">
        <v>51</v>
      </c>
      <c r="E44" t="s">
        <v>67</v>
      </c>
      <c r="F44" t="s">
        <v>71</v>
      </c>
      <c r="G44" s="12">
        <v>15</v>
      </c>
      <c r="H44" s="14">
        <f t="shared" si="0"/>
        <v>11</v>
      </c>
      <c r="I44" s="8">
        <f t="shared" si="1"/>
        <v>14</v>
      </c>
    </row>
    <row r="45" spans="1:9" x14ac:dyDescent="0.35">
      <c r="A45" t="s">
        <v>74</v>
      </c>
      <c r="B45" t="s">
        <v>84</v>
      </c>
      <c r="C45" t="s">
        <v>85</v>
      </c>
      <c r="D45" t="s">
        <v>51</v>
      </c>
      <c r="E45" t="s">
        <v>146</v>
      </c>
      <c r="F45" t="s">
        <v>104</v>
      </c>
      <c r="G45" s="12">
        <v>45</v>
      </c>
      <c r="H45" s="14">
        <f t="shared" si="0"/>
        <v>32</v>
      </c>
      <c r="I45" s="8">
        <f t="shared" si="1"/>
        <v>41</v>
      </c>
    </row>
    <row r="46" spans="1:9" x14ac:dyDescent="0.35">
      <c r="A46" t="s">
        <v>74</v>
      </c>
      <c r="B46" t="s">
        <v>86</v>
      </c>
      <c r="C46" t="s">
        <v>87</v>
      </c>
      <c r="D46" t="s">
        <v>51</v>
      </c>
      <c r="E46" t="s">
        <v>146</v>
      </c>
      <c r="F46" t="s">
        <v>72</v>
      </c>
      <c r="G46" s="12">
        <v>30</v>
      </c>
      <c r="H46" s="14">
        <f t="shared" si="0"/>
        <v>21</v>
      </c>
      <c r="I46" s="8">
        <f t="shared" si="1"/>
        <v>27</v>
      </c>
    </row>
    <row r="47" spans="1:9" x14ac:dyDescent="0.35">
      <c r="A47" t="s">
        <v>74</v>
      </c>
      <c r="B47" t="s">
        <v>88</v>
      </c>
      <c r="C47" t="s">
        <v>87</v>
      </c>
      <c r="D47" t="s">
        <v>51</v>
      </c>
      <c r="E47" t="s">
        <v>146</v>
      </c>
      <c r="F47" t="s">
        <v>72</v>
      </c>
      <c r="G47" s="12">
        <v>30</v>
      </c>
      <c r="H47" s="14">
        <f t="shared" si="0"/>
        <v>21</v>
      </c>
      <c r="I47" s="8">
        <f t="shared" si="1"/>
        <v>27</v>
      </c>
    </row>
    <row r="48" spans="1:9" x14ac:dyDescent="0.35">
      <c r="A48" t="s">
        <v>74</v>
      </c>
      <c r="B48" t="s">
        <v>89</v>
      </c>
      <c r="C48" t="s">
        <v>90</v>
      </c>
      <c r="D48" t="s">
        <v>51</v>
      </c>
      <c r="E48" t="s">
        <v>146</v>
      </c>
      <c r="F48" t="s">
        <v>245</v>
      </c>
      <c r="H48" s="14"/>
    </row>
    <row r="49" spans="1:9" x14ac:dyDescent="0.35">
      <c r="A49" t="s">
        <v>74</v>
      </c>
      <c r="B49" t="s">
        <v>91</v>
      </c>
      <c r="C49" t="s">
        <v>92</v>
      </c>
      <c r="D49" t="s">
        <v>51</v>
      </c>
      <c r="E49" t="s">
        <v>67</v>
      </c>
      <c r="F49" t="s">
        <v>106</v>
      </c>
      <c r="G49" s="12">
        <v>7</v>
      </c>
      <c r="H49" s="14">
        <f t="shared" si="0"/>
        <v>5</v>
      </c>
      <c r="I49" s="8">
        <f t="shared" si="1"/>
        <v>6</v>
      </c>
    </row>
    <row r="50" spans="1:9" x14ac:dyDescent="0.35">
      <c r="A50" t="s">
        <v>74</v>
      </c>
      <c r="B50" t="s">
        <v>93</v>
      </c>
      <c r="C50" t="s">
        <v>94</v>
      </c>
      <c r="D50" t="s">
        <v>51</v>
      </c>
      <c r="E50" t="s">
        <v>146</v>
      </c>
      <c r="F50" t="s">
        <v>107</v>
      </c>
      <c r="G50" s="12">
        <v>23</v>
      </c>
      <c r="H50" s="14">
        <f t="shared" si="0"/>
        <v>16</v>
      </c>
      <c r="I50" s="8">
        <f t="shared" si="1"/>
        <v>21</v>
      </c>
    </row>
    <row r="51" spans="1:9" x14ac:dyDescent="0.35">
      <c r="A51" t="s">
        <v>74</v>
      </c>
      <c r="B51" t="s">
        <v>95</v>
      </c>
      <c r="C51" t="s">
        <v>96</v>
      </c>
      <c r="D51" t="s">
        <v>51</v>
      </c>
      <c r="E51" t="s">
        <v>146</v>
      </c>
      <c r="F51" t="s">
        <v>73</v>
      </c>
      <c r="H51" s="14"/>
    </row>
    <row r="52" spans="1:9" x14ac:dyDescent="0.35">
      <c r="A52" t="s">
        <v>74</v>
      </c>
      <c r="B52" t="s">
        <v>97</v>
      </c>
      <c r="C52" t="s">
        <v>98</v>
      </c>
      <c r="D52" t="s">
        <v>51</v>
      </c>
      <c r="E52" t="s">
        <v>146</v>
      </c>
      <c r="F52" t="s">
        <v>73</v>
      </c>
      <c r="H52" s="14"/>
    </row>
    <row r="53" spans="1:9" x14ac:dyDescent="0.35">
      <c r="A53" t="s">
        <v>74</v>
      </c>
      <c r="B53" t="s">
        <v>99</v>
      </c>
      <c r="C53" t="s">
        <v>100</v>
      </c>
      <c r="D53" t="s">
        <v>51</v>
      </c>
      <c r="E53" t="s">
        <v>146</v>
      </c>
      <c r="F53" t="s">
        <v>107</v>
      </c>
      <c r="G53" s="12">
        <v>23</v>
      </c>
      <c r="H53" s="14">
        <f t="shared" si="0"/>
        <v>16</v>
      </c>
      <c r="I53" s="8">
        <f t="shared" si="1"/>
        <v>21</v>
      </c>
    </row>
    <row r="54" spans="1:9" x14ac:dyDescent="0.35">
      <c r="A54" t="s">
        <v>74</v>
      </c>
      <c r="B54" t="s">
        <v>101</v>
      </c>
      <c r="C54" t="s">
        <v>102</v>
      </c>
      <c r="D54" t="s">
        <v>51</v>
      </c>
      <c r="E54" t="s">
        <v>67</v>
      </c>
      <c r="F54" t="s">
        <v>246</v>
      </c>
      <c r="G54" s="12">
        <v>7</v>
      </c>
      <c r="H54" s="14">
        <f t="shared" si="0"/>
        <v>5</v>
      </c>
      <c r="I54" s="8">
        <f t="shared" si="1"/>
        <v>6</v>
      </c>
    </row>
    <row r="55" spans="1:9" x14ac:dyDescent="0.35">
      <c r="A55" t="s">
        <v>108</v>
      </c>
      <c r="B55" t="s">
        <v>109</v>
      </c>
      <c r="C55" t="s">
        <v>110</v>
      </c>
      <c r="D55" t="s">
        <v>136</v>
      </c>
      <c r="E55" t="s">
        <v>103</v>
      </c>
      <c r="F55" t="s">
        <v>139</v>
      </c>
      <c r="G55" s="12">
        <v>7</v>
      </c>
      <c r="H55" s="14">
        <f t="shared" si="0"/>
        <v>5</v>
      </c>
      <c r="I55" s="8">
        <f t="shared" si="1"/>
        <v>6</v>
      </c>
    </row>
    <row r="56" spans="1:9" x14ac:dyDescent="0.35">
      <c r="A56" t="s">
        <v>108</v>
      </c>
      <c r="B56" t="s">
        <v>111</v>
      </c>
      <c r="C56" t="s">
        <v>112</v>
      </c>
      <c r="D56" t="s">
        <v>50</v>
      </c>
      <c r="E56" t="s">
        <v>146</v>
      </c>
      <c r="F56" t="s">
        <v>140</v>
      </c>
      <c r="G56" s="12">
        <v>7</v>
      </c>
      <c r="H56" s="14">
        <f t="shared" si="0"/>
        <v>5</v>
      </c>
      <c r="I56" s="8">
        <f t="shared" si="1"/>
        <v>6</v>
      </c>
    </row>
    <row r="57" spans="1:9" x14ac:dyDescent="0.35">
      <c r="A57" t="s">
        <v>108</v>
      </c>
      <c r="B57" t="s">
        <v>113</v>
      </c>
      <c r="C57" t="s">
        <v>114</v>
      </c>
      <c r="D57" t="s">
        <v>50</v>
      </c>
      <c r="E57" t="s">
        <v>36</v>
      </c>
      <c r="F57" t="s">
        <v>140</v>
      </c>
      <c r="G57" s="12">
        <v>7</v>
      </c>
      <c r="H57" s="14">
        <f t="shared" si="0"/>
        <v>5</v>
      </c>
      <c r="I57" s="8">
        <f t="shared" si="1"/>
        <v>6</v>
      </c>
    </row>
    <row r="58" spans="1:9" x14ac:dyDescent="0.35">
      <c r="A58" t="s">
        <v>108</v>
      </c>
      <c r="B58" t="s">
        <v>115</v>
      </c>
      <c r="C58" t="s">
        <v>114</v>
      </c>
      <c r="D58" t="s">
        <v>137</v>
      </c>
      <c r="E58" t="s">
        <v>36</v>
      </c>
      <c r="F58" t="s">
        <v>140</v>
      </c>
      <c r="G58" s="12">
        <v>7</v>
      </c>
      <c r="H58" s="14">
        <f t="shared" si="0"/>
        <v>5</v>
      </c>
      <c r="I58" s="8">
        <f t="shared" si="1"/>
        <v>6</v>
      </c>
    </row>
    <row r="59" spans="1:9" x14ac:dyDescent="0.35">
      <c r="A59" t="s">
        <v>108</v>
      </c>
      <c r="B59" t="s">
        <v>116</v>
      </c>
      <c r="C59" t="s">
        <v>117</v>
      </c>
      <c r="D59" t="s">
        <v>138</v>
      </c>
      <c r="E59" t="s">
        <v>146</v>
      </c>
      <c r="F59" t="s">
        <v>141</v>
      </c>
      <c r="G59" s="12">
        <v>7</v>
      </c>
      <c r="H59" s="14">
        <f t="shared" si="0"/>
        <v>5</v>
      </c>
      <c r="I59" s="8">
        <f t="shared" si="1"/>
        <v>6</v>
      </c>
    </row>
    <row r="60" spans="1:9" x14ac:dyDescent="0.35">
      <c r="A60" t="s">
        <v>108</v>
      </c>
      <c r="B60" t="s">
        <v>118</v>
      </c>
      <c r="C60" t="s">
        <v>119</v>
      </c>
      <c r="D60" t="s">
        <v>138</v>
      </c>
      <c r="E60" t="s">
        <v>146</v>
      </c>
      <c r="F60" t="s">
        <v>38</v>
      </c>
      <c r="G60" s="12">
        <v>60</v>
      </c>
      <c r="H60" s="14">
        <f t="shared" si="0"/>
        <v>42</v>
      </c>
      <c r="I60" s="8">
        <f t="shared" si="1"/>
        <v>54</v>
      </c>
    </row>
    <row r="61" spans="1:9" x14ac:dyDescent="0.35">
      <c r="A61" t="s">
        <v>108</v>
      </c>
      <c r="B61" t="s">
        <v>120</v>
      </c>
      <c r="C61" t="s">
        <v>121</v>
      </c>
      <c r="D61" t="s">
        <v>138</v>
      </c>
      <c r="E61" t="s">
        <v>36</v>
      </c>
      <c r="F61" t="s">
        <v>142</v>
      </c>
      <c r="G61" s="12">
        <v>180</v>
      </c>
      <c r="H61" s="14">
        <f t="shared" si="0"/>
        <v>126</v>
      </c>
      <c r="I61" s="8">
        <f t="shared" si="1"/>
        <v>162</v>
      </c>
    </row>
    <row r="62" spans="1:9" x14ac:dyDescent="0.35">
      <c r="A62" t="s">
        <v>108</v>
      </c>
      <c r="B62" t="s">
        <v>122</v>
      </c>
      <c r="C62" t="s">
        <v>123</v>
      </c>
      <c r="D62" t="s">
        <v>50</v>
      </c>
      <c r="E62" t="s">
        <v>36</v>
      </c>
      <c r="F62" t="s">
        <v>37</v>
      </c>
      <c r="G62" s="12">
        <v>90</v>
      </c>
      <c r="H62" s="14">
        <f t="shared" si="0"/>
        <v>63</v>
      </c>
      <c r="I62" s="8">
        <f t="shared" si="1"/>
        <v>81</v>
      </c>
    </row>
    <row r="63" spans="1:9" x14ac:dyDescent="0.35">
      <c r="A63" t="s">
        <v>108</v>
      </c>
      <c r="B63" t="s">
        <v>124</v>
      </c>
      <c r="C63" t="s">
        <v>125</v>
      </c>
      <c r="D63" t="s">
        <v>138</v>
      </c>
      <c r="E63" t="s">
        <v>36</v>
      </c>
      <c r="F63" t="s">
        <v>142</v>
      </c>
      <c r="G63" s="12">
        <v>180</v>
      </c>
      <c r="H63" s="14">
        <f t="shared" si="0"/>
        <v>126</v>
      </c>
      <c r="I63" s="8">
        <f t="shared" si="1"/>
        <v>162</v>
      </c>
    </row>
    <row r="64" spans="1:9" x14ac:dyDescent="0.35">
      <c r="A64" t="s">
        <v>108</v>
      </c>
      <c r="B64" t="s">
        <v>126</v>
      </c>
      <c r="C64" t="s">
        <v>127</v>
      </c>
      <c r="D64" t="s">
        <v>136</v>
      </c>
      <c r="E64" t="s">
        <v>146</v>
      </c>
      <c r="F64" t="s">
        <v>143</v>
      </c>
      <c r="G64" s="12">
        <v>15</v>
      </c>
      <c r="H64" s="14">
        <f t="shared" si="0"/>
        <v>11</v>
      </c>
      <c r="I64" s="8">
        <f t="shared" si="1"/>
        <v>14</v>
      </c>
    </row>
    <row r="65" spans="1:9" x14ac:dyDescent="0.35">
      <c r="A65" t="s">
        <v>108</v>
      </c>
      <c r="B65" t="s">
        <v>128</v>
      </c>
      <c r="C65" t="s">
        <v>129</v>
      </c>
      <c r="D65" t="s">
        <v>138</v>
      </c>
      <c r="E65" t="s">
        <v>36</v>
      </c>
      <c r="F65" t="s">
        <v>139</v>
      </c>
      <c r="G65" s="12">
        <v>7</v>
      </c>
      <c r="H65" s="14">
        <f t="shared" si="0"/>
        <v>5</v>
      </c>
      <c r="I65" s="8">
        <f t="shared" si="1"/>
        <v>6</v>
      </c>
    </row>
    <row r="66" spans="1:9" x14ac:dyDescent="0.35">
      <c r="A66" t="s">
        <v>108</v>
      </c>
      <c r="B66" t="s">
        <v>130</v>
      </c>
      <c r="C66" t="s">
        <v>131</v>
      </c>
      <c r="D66" t="s">
        <v>50</v>
      </c>
      <c r="E66" t="s">
        <v>103</v>
      </c>
      <c r="F66" t="s">
        <v>144</v>
      </c>
      <c r="G66" s="12">
        <v>7</v>
      </c>
      <c r="H66" s="14">
        <f t="shared" si="0"/>
        <v>5</v>
      </c>
      <c r="I66" s="8">
        <f t="shared" si="1"/>
        <v>6</v>
      </c>
    </row>
    <row r="67" spans="1:9" x14ac:dyDescent="0.35">
      <c r="A67" t="s">
        <v>108</v>
      </c>
      <c r="B67" t="s">
        <v>132</v>
      </c>
      <c r="C67" t="s">
        <v>133</v>
      </c>
      <c r="D67" t="s">
        <v>138</v>
      </c>
      <c r="E67" t="s">
        <v>36</v>
      </c>
      <c r="F67" t="s">
        <v>145</v>
      </c>
      <c r="G67" s="12">
        <v>30</v>
      </c>
      <c r="H67" s="14">
        <f t="shared" si="0"/>
        <v>21</v>
      </c>
      <c r="I67" s="8">
        <f t="shared" si="1"/>
        <v>27</v>
      </c>
    </row>
    <row r="68" spans="1:9" x14ac:dyDescent="0.35">
      <c r="A68" t="s">
        <v>108</v>
      </c>
      <c r="B68" t="s">
        <v>134</v>
      </c>
      <c r="C68" t="s">
        <v>135</v>
      </c>
      <c r="D68" t="s">
        <v>50</v>
      </c>
      <c r="E68" t="s">
        <v>36</v>
      </c>
      <c r="F68" t="s">
        <v>140</v>
      </c>
      <c r="G68" s="12">
        <v>7</v>
      </c>
      <c r="H68" s="14">
        <f t="shared" si="0"/>
        <v>5</v>
      </c>
      <c r="I68" s="8">
        <f t="shared" si="1"/>
        <v>6</v>
      </c>
    </row>
    <row r="69" spans="1:9" x14ac:dyDescent="0.35">
      <c r="A69" t="s">
        <v>147</v>
      </c>
      <c r="B69" t="s">
        <v>148</v>
      </c>
      <c r="C69" t="s">
        <v>149</v>
      </c>
      <c r="D69" t="s">
        <v>150</v>
      </c>
      <c r="E69" t="s">
        <v>36</v>
      </c>
      <c r="F69" t="s">
        <v>184</v>
      </c>
      <c r="G69" s="12">
        <v>45</v>
      </c>
      <c r="H69" s="14">
        <f t="shared" si="0"/>
        <v>32</v>
      </c>
      <c r="I69" s="8">
        <f t="shared" si="1"/>
        <v>41</v>
      </c>
    </row>
    <row r="70" spans="1:9" x14ac:dyDescent="0.35">
      <c r="A70" t="s">
        <v>147</v>
      </c>
      <c r="B70" t="s">
        <v>151</v>
      </c>
      <c r="C70" t="s">
        <v>152</v>
      </c>
      <c r="D70" t="s">
        <v>150</v>
      </c>
      <c r="E70" t="s">
        <v>36</v>
      </c>
      <c r="F70" t="s">
        <v>184</v>
      </c>
      <c r="G70" s="12">
        <v>45</v>
      </c>
      <c r="H70" s="14">
        <f t="shared" si="0"/>
        <v>32</v>
      </c>
      <c r="I70" s="8">
        <f t="shared" si="1"/>
        <v>41</v>
      </c>
    </row>
    <row r="71" spans="1:9" x14ac:dyDescent="0.35">
      <c r="A71" t="s">
        <v>147</v>
      </c>
      <c r="B71" t="s">
        <v>153</v>
      </c>
      <c r="C71" t="s">
        <v>154</v>
      </c>
      <c r="D71" t="s">
        <v>183</v>
      </c>
      <c r="E71" t="s">
        <v>36</v>
      </c>
      <c r="F71" t="s">
        <v>185</v>
      </c>
      <c r="G71" s="12">
        <v>7</v>
      </c>
      <c r="H71" s="14">
        <f t="shared" si="0"/>
        <v>5</v>
      </c>
      <c r="I71" s="8">
        <f t="shared" si="1"/>
        <v>6</v>
      </c>
    </row>
    <row r="72" spans="1:9" x14ac:dyDescent="0.35">
      <c r="A72" t="s">
        <v>147</v>
      </c>
      <c r="B72" t="s">
        <v>155</v>
      </c>
      <c r="C72" t="s">
        <v>156</v>
      </c>
      <c r="D72" t="s">
        <v>138</v>
      </c>
      <c r="E72" t="s">
        <v>36</v>
      </c>
      <c r="F72" t="s">
        <v>186</v>
      </c>
      <c r="G72" s="12">
        <v>15</v>
      </c>
      <c r="H72" s="14">
        <f t="shared" si="0"/>
        <v>11</v>
      </c>
      <c r="I72" s="8">
        <f t="shared" si="1"/>
        <v>14</v>
      </c>
    </row>
    <row r="73" spans="1:9" x14ac:dyDescent="0.35">
      <c r="A73" t="s">
        <v>147</v>
      </c>
      <c r="B73" t="s">
        <v>157</v>
      </c>
      <c r="C73" t="s">
        <v>158</v>
      </c>
      <c r="D73" t="s">
        <v>150</v>
      </c>
      <c r="E73" t="s">
        <v>36</v>
      </c>
      <c r="F73" t="s">
        <v>187</v>
      </c>
      <c r="G73" s="12">
        <v>60</v>
      </c>
      <c r="H73" s="14">
        <f t="shared" si="0"/>
        <v>42</v>
      </c>
      <c r="I73" s="8">
        <f t="shared" si="1"/>
        <v>54</v>
      </c>
    </row>
    <row r="74" spans="1:9" x14ac:dyDescent="0.35">
      <c r="A74" t="s">
        <v>147</v>
      </c>
      <c r="B74" t="s">
        <v>159</v>
      </c>
      <c r="C74" t="s">
        <v>154</v>
      </c>
      <c r="D74" t="s">
        <v>183</v>
      </c>
      <c r="E74" t="s">
        <v>146</v>
      </c>
      <c r="F74" t="s">
        <v>187</v>
      </c>
      <c r="G74" s="12">
        <v>60</v>
      </c>
      <c r="H74" s="14">
        <f t="shared" si="0"/>
        <v>42</v>
      </c>
      <c r="I74" s="8">
        <f t="shared" si="1"/>
        <v>54</v>
      </c>
    </row>
    <row r="75" spans="1:9" x14ac:dyDescent="0.35">
      <c r="A75" t="s">
        <v>147</v>
      </c>
      <c r="B75" t="s">
        <v>160</v>
      </c>
      <c r="C75" t="s">
        <v>161</v>
      </c>
      <c r="D75" t="s">
        <v>138</v>
      </c>
      <c r="E75" t="s">
        <v>103</v>
      </c>
      <c r="F75" t="s">
        <v>188</v>
      </c>
      <c r="G75" s="12">
        <v>30</v>
      </c>
      <c r="H75" s="14">
        <f t="shared" si="0"/>
        <v>21</v>
      </c>
      <c r="I75" s="8">
        <f t="shared" si="1"/>
        <v>27</v>
      </c>
    </row>
    <row r="76" spans="1:9" x14ac:dyDescent="0.35">
      <c r="A76" t="s">
        <v>147</v>
      </c>
      <c r="B76" t="s">
        <v>162</v>
      </c>
      <c r="C76" t="s">
        <v>163</v>
      </c>
      <c r="D76" t="s">
        <v>138</v>
      </c>
      <c r="E76" t="s">
        <v>103</v>
      </c>
      <c r="F76" t="s">
        <v>39</v>
      </c>
      <c r="G76" s="12">
        <v>30</v>
      </c>
      <c r="H76" s="14">
        <f t="shared" si="0"/>
        <v>21</v>
      </c>
      <c r="I76" s="8">
        <f t="shared" si="1"/>
        <v>27</v>
      </c>
    </row>
    <row r="77" spans="1:9" x14ac:dyDescent="0.35">
      <c r="A77" t="s">
        <v>147</v>
      </c>
      <c r="B77" t="s">
        <v>164</v>
      </c>
      <c r="C77" t="s">
        <v>165</v>
      </c>
      <c r="D77" t="s">
        <v>183</v>
      </c>
      <c r="E77" t="s">
        <v>146</v>
      </c>
      <c r="F77" t="s">
        <v>39</v>
      </c>
      <c r="G77" s="12">
        <v>30</v>
      </c>
      <c r="H77" s="14">
        <f t="shared" si="0"/>
        <v>21</v>
      </c>
      <c r="I77" s="8">
        <f t="shared" si="1"/>
        <v>27</v>
      </c>
    </row>
    <row r="78" spans="1:9" x14ac:dyDescent="0.35">
      <c r="A78" t="s">
        <v>147</v>
      </c>
      <c r="B78" t="s">
        <v>166</v>
      </c>
      <c r="C78" t="s">
        <v>167</v>
      </c>
      <c r="D78" t="s">
        <v>183</v>
      </c>
      <c r="E78" t="s">
        <v>36</v>
      </c>
      <c r="F78" t="s">
        <v>187</v>
      </c>
      <c r="G78" s="12">
        <v>60</v>
      </c>
      <c r="H78" s="14">
        <f t="shared" ref="H78:H141" si="2">ROUND(0.7*G78,0)</f>
        <v>42</v>
      </c>
      <c r="I78" s="8">
        <f t="shared" ref="I78:I141" si="3">ROUND(0.9*G78,0)</f>
        <v>54</v>
      </c>
    </row>
    <row r="79" spans="1:9" x14ac:dyDescent="0.35">
      <c r="A79" t="s">
        <v>147</v>
      </c>
      <c r="B79" t="s">
        <v>168</v>
      </c>
      <c r="C79" t="s">
        <v>169</v>
      </c>
      <c r="D79" t="s">
        <v>183</v>
      </c>
      <c r="E79" t="s">
        <v>146</v>
      </c>
      <c r="F79" t="s">
        <v>184</v>
      </c>
      <c r="G79" s="12">
        <v>45</v>
      </c>
      <c r="H79" s="14">
        <f t="shared" si="2"/>
        <v>32</v>
      </c>
      <c r="I79" s="8">
        <f t="shared" si="3"/>
        <v>41</v>
      </c>
    </row>
    <row r="80" spans="1:9" x14ac:dyDescent="0.35">
      <c r="A80" t="s">
        <v>147</v>
      </c>
      <c r="B80" t="s">
        <v>170</v>
      </c>
      <c r="C80" t="s">
        <v>9</v>
      </c>
      <c r="D80" t="s">
        <v>138</v>
      </c>
      <c r="E80" t="s">
        <v>67</v>
      </c>
      <c r="F80" t="s">
        <v>184</v>
      </c>
      <c r="G80" s="12">
        <v>45</v>
      </c>
      <c r="H80" s="14">
        <f t="shared" si="2"/>
        <v>32</v>
      </c>
      <c r="I80" s="8">
        <f t="shared" si="3"/>
        <v>41</v>
      </c>
    </row>
    <row r="81" spans="1:9" x14ac:dyDescent="0.35">
      <c r="A81" t="s">
        <v>147</v>
      </c>
      <c r="B81" t="s">
        <v>171</v>
      </c>
      <c r="C81" t="s">
        <v>172</v>
      </c>
      <c r="D81" t="s">
        <v>183</v>
      </c>
      <c r="E81" t="s">
        <v>146</v>
      </c>
      <c r="F81" t="s">
        <v>188</v>
      </c>
      <c r="G81" s="12">
        <v>30</v>
      </c>
      <c r="H81" s="14">
        <f t="shared" si="2"/>
        <v>21</v>
      </c>
      <c r="I81" s="8">
        <f t="shared" si="3"/>
        <v>27</v>
      </c>
    </row>
    <row r="82" spans="1:9" x14ac:dyDescent="0.35">
      <c r="A82" t="s">
        <v>147</v>
      </c>
      <c r="B82" t="s">
        <v>173</v>
      </c>
      <c r="C82" t="s">
        <v>11</v>
      </c>
      <c r="D82" t="s">
        <v>183</v>
      </c>
      <c r="E82" t="s">
        <v>146</v>
      </c>
      <c r="F82" t="s">
        <v>184</v>
      </c>
      <c r="G82" s="12">
        <v>45</v>
      </c>
      <c r="H82" s="14">
        <f t="shared" si="2"/>
        <v>32</v>
      </c>
      <c r="I82" s="8">
        <f t="shared" si="3"/>
        <v>41</v>
      </c>
    </row>
    <row r="83" spans="1:9" x14ac:dyDescent="0.35">
      <c r="A83" t="s">
        <v>147</v>
      </c>
      <c r="B83" t="s">
        <v>174</v>
      </c>
      <c r="C83" t="s">
        <v>11</v>
      </c>
      <c r="D83" t="s">
        <v>138</v>
      </c>
      <c r="E83" t="s">
        <v>103</v>
      </c>
      <c r="F83" t="s">
        <v>184</v>
      </c>
      <c r="G83" s="12">
        <v>45</v>
      </c>
      <c r="H83" s="14">
        <f t="shared" si="2"/>
        <v>32</v>
      </c>
      <c r="I83" s="8">
        <f t="shared" si="3"/>
        <v>41</v>
      </c>
    </row>
    <row r="84" spans="1:9" x14ac:dyDescent="0.35">
      <c r="A84" t="s">
        <v>147</v>
      </c>
      <c r="B84" t="s">
        <v>175</v>
      </c>
      <c r="C84" t="s">
        <v>176</v>
      </c>
      <c r="D84" t="s">
        <v>150</v>
      </c>
      <c r="E84" t="s">
        <v>36</v>
      </c>
      <c r="F84" t="s">
        <v>189</v>
      </c>
      <c r="G84" s="12">
        <v>60</v>
      </c>
      <c r="H84" s="14">
        <f t="shared" si="2"/>
        <v>42</v>
      </c>
      <c r="I84" s="8">
        <f t="shared" si="3"/>
        <v>54</v>
      </c>
    </row>
    <row r="85" spans="1:9" x14ac:dyDescent="0.35">
      <c r="A85" t="s">
        <v>147</v>
      </c>
      <c r="B85" t="s">
        <v>177</v>
      </c>
      <c r="C85" t="s">
        <v>178</v>
      </c>
      <c r="D85" t="s">
        <v>150</v>
      </c>
      <c r="E85" t="s">
        <v>36</v>
      </c>
      <c r="F85" t="s">
        <v>184</v>
      </c>
      <c r="G85" s="12">
        <v>60</v>
      </c>
      <c r="H85" s="14">
        <f t="shared" si="2"/>
        <v>42</v>
      </c>
      <c r="I85" s="8">
        <f t="shared" si="3"/>
        <v>54</v>
      </c>
    </row>
    <row r="86" spans="1:9" x14ac:dyDescent="0.35">
      <c r="A86" t="s">
        <v>147</v>
      </c>
      <c r="B86" t="s">
        <v>179</v>
      </c>
      <c r="C86" t="s">
        <v>180</v>
      </c>
      <c r="D86" t="s">
        <v>150</v>
      </c>
      <c r="E86" t="s">
        <v>36</v>
      </c>
      <c r="F86" t="s">
        <v>190</v>
      </c>
      <c r="G86" s="12">
        <v>7</v>
      </c>
      <c r="H86" s="14">
        <f t="shared" si="2"/>
        <v>5</v>
      </c>
      <c r="I86" s="8">
        <f t="shared" si="3"/>
        <v>6</v>
      </c>
    </row>
    <row r="87" spans="1:9" x14ac:dyDescent="0.35">
      <c r="A87" t="s">
        <v>147</v>
      </c>
      <c r="B87" t="s">
        <v>181</v>
      </c>
      <c r="C87" t="s">
        <v>182</v>
      </c>
      <c r="D87" t="s">
        <v>150</v>
      </c>
      <c r="E87" t="s">
        <v>36</v>
      </c>
      <c r="F87" t="s">
        <v>191</v>
      </c>
      <c r="G87" s="12">
        <v>7</v>
      </c>
      <c r="H87" s="14">
        <f t="shared" si="2"/>
        <v>5</v>
      </c>
      <c r="I87" s="8">
        <f t="shared" si="3"/>
        <v>6</v>
      </c>
    </row>
    <row r="88" spans="1:9" x14ac:dyDescent="0.35">
      <c r="A88" t="s">
        <v>192</v>
      </c>
      <c r="B88" t="s">
        <v>193</v>
      </c>
      <c r="C88" t="s">
        <v>194</v>
      </c>
      <c r="D88" t="s">
        <v>195</v>
      </c>
      <c r="E88" t="s">
        <v>215</v>
      </c>
      <c r="F88" t="s">
        <v>142</v>
      </c>
      <c r="G88" s="12">
        <v>180</v>
      </c>
      <c r="H88" s="14">
        <f t="shared" si="2"/>
        <v>126</v>
      </c>
      <c r="I88" s="8">
        <f t="shared" si="3"/>
        <v>162</v>
      </c>
    </row>
    <row r="89" spans="1:9" x14ac:dyDescent="0.35">
      <c r="A89" t="s">
        <v>192</v>
      </c>
      <c r="B89" t="s">
        <v>196</v>
      </c>
      <c r="C89" t="s">
        <v>197</v>
      </c>
      <c r="D89" t="s">
        <v>195</v>
      </c>
      <c r="E89" t="s">
        <v>215</v>
      </c>
      <c r="F89" t="s">
        <v>142</v>
      </c>
      <c r="G89" s="12">
        <v>180</v>
      </c>
      <c r="H89" s="14">
        <f t="shared" si="2"/>
        <v>126</v>
      </c>
      <c r="I89" s="8">
        <f t="shared" si="3"/>
        <v>162</v>
      </c>
    </row>
    <row r="90" spans="1:9" x14ac:dyDescent="0.35">
      <c r="A90" t="s">
        <v>192</v>
      </c>
      <c r="B90" t="s">
        <v>198</v>
      </c>
      <c r="C90" t="s">
        <v>199</v>
      </c>
      <c r="D90" t="s">
        <v>213</v>
      </c>
      <c r="E90" t="s">
        <v>36</v>
      </c>
      <c r="F90" t="s">
        <v>37</v>
      </c>
      <c r="G90" s="12">
        <v>90</v>
      </c>
      <c r="H90" s="14">
        <f t="shared" si="2"/>
        <v>63</v>
      </c>
      <c r="I90" s="8">
        <f t="shared" si="3"/>
        <v>81</v>
      </c>
    </row>
    <row r="91" spans="1:9" x14ac:dyDescent="0.35">
      <c r="A91" t="s">
        <v>192</v>
      </c>
      <c r="B91" t="s">
        <v>200</v>
      </c>
      <c r="C91" t="s">
        <v>201</v>
      </c>
      <c r="D91" t="s">
        <v>213</v>
      </c>
      <c r="E91" t="s">
        <v>36</v>
      </c>
      <c r="F91" t="s">
        <v>37</v>
      </c>
      <c r="G91" s="12">
        <v>90</v>
      </c>
      <c r="H91" s="14">
        <f t="shared" si="2"/>
        <v>63</v>
      </c>
      <c r="I91" s="8">
        <f t="shared" si="3"/>
        <v>81</v>
      </c>
    </row>
    <row r="92" spans="1:9" x14ac:dyDescent="0.35">
      <c r="A92" t="s">
        <v>192</v>
      </c>
      <c r="B92" t="s">
        <v>202</v>
      </c>
      <c r="C92" t="s">
        <v>203</v>
      </c>
      <c r="D92" t="s">
        <v>195</v>
      </c>
      <c r="E92" t="s">
        <v>216</v>
      </c>
      <c r="F92" t="s">
        <v>37</v>
      </c>
      <c r="G92" s="12">
        <v>90</v>
      </c>
      <c r="H92" s="14">
        <f t="shared" si="2"/>
        <v>63</v>
      </c>
      <c r="I92" s="8">
        <f t="shared" si="3"/>
        <v>81</v>
      </c>
    </row>
    <row r="93" spans="1:9" x14ac:dyDescent="0.35">
      <c r="A93" t="s">
        <v>192</v>
      </c>
      <c r="B93" t="s">
        <v>204</v>
      </c>
      <c r="C93" t="s">
        <v>205</v>
      </c>
      <c r="D93" t="s">
        <v>195</v>
      </c>
      <c r="E93" t="s">
        <v>216</v>
      </c>
      <c r="F93" t="s">
        <v>37</v>
      </c>
      <c r="G93" s="12">
        <v>90</v>
      </c>
      <c r="H93" s="14">
        <f t="shared" si="2"/>
        <v>63</v>
      </c>
      <c r="I93" s="8">
        <f t="shared" si="3"/>
        <v>81</v>
      </c>
    </row>
    <row r="94" spans="1:9" x14ac:dyDescent="0.35">
      <c r="A94" t="s">
        <v>192</v>
      </c>
      <c r="B94" t="s">
        <v>206</v>
      </c>
      <c r="D94" t="s">
        <v>213</v>
      </c>
      <c r="E94" t="s">
        <v>36</v>
      </c>
      <c r="F94" t="s">
        <v>145</v>
      </c>
      <c r="G94" s="12">
        <v>30</v>
      </c>
      <c r="H94" s="14">
        <f t="shared" si="2"/>
        <v>21</v>
      </c>
      <c r="I94" s="8">
        <f t="shared" si="3"/>
        <v>27</v>
      </c>
    </row>
    <row r="95" spans="1:9" x14ac:dyDescent="0.35">
      <c r="A95" t="s">
        <v>192</v>
      </c>
      <c r="B95" t="s">
        <v>207</v>
      </c>
      <c r="C95" t="s">
        <v>208</v>
      </c>
      <c r="D95" t="s">
        <v>213</v>
      </c>
      <c r="E95" t="s">
        <v>215</v>
      </c>
      <c r="F95" t="s">
        <v>214</v>
      </c>
      <c r="G95" s="12">
        <v>360</v>
      </c>
      <c r="H95" s="14">
        <f t="shared" si="2"/>
        <v>252</v>
      </c>
      <c r="I95" s="8">
        <f t="shared" si="3"/>
        <v>324</v>
      </c>
    </row>
    <row r="96" spans="1:9" x14ac:dyDescent="0.35">
      <c r="A96" t="s">
        <v>192</v>
      </c>
      <c r="B96" t="s">
        <v>209</v>
      </c>
      <c r="C96" t="s">
        <v>210</v>
      </c>
      <c r="D96" t="s">
        <v>213</v>
      </c>
      <c r="E96" t="s">
        <v>36</v>
      </c>
      <c r="F96" t="s">
        <v>214</v>
      </c>
      <c r="G96" s="12">
        <v>360</v>
      </c>
      <c r="H96" s="14">
        <f t="shared" si="2"/>
        <v>252</v>
      </c>
      <c r="I96" s="8">
        <f t="shared" si="3"/>
        <v>324</v>
      </c>
    </row>
    <row r="97" spans="1:9" x14ac:dyDescent="0.35">
      <c r="A97" t="s">
        <v>192</v>
      </c>
      <c r="B97" t="s">
        <v>211</v>
      </c>
      <c r="C97" t="s">
        <v>212</v>
      </c>
      <c r="D97" t="s">
        <v>213</v>
      </c>
      <c r="E97" t="s">
        <v>36</v>
      </c>
      <c r="F97" t="s">
        <v>37</v>
      </c>
      <c r="G97" s="12">
        <v>90</v>
      </c>
      <c r="H97" s="14">
        <f t="shared" si="2"/>
        <v>63</v>
      </c>
      <c r="I97" s="8">
        <f t="shared" si="3"/>
        <v>81</v>
      </c>
    </row>
    <row r="98" spans="1:9" x14ac:dyDescent="0.35">
      <c r="A98" t="s">
        <v>217</v>
      </c>
      <c r="B98" t="s">
        <v>218</v>
      </c>
      <c r="C98" t="s">
        <v>219</v>
      </c>
      <c r="D98" t="s">
        <v>240</v>
      </c>
      <c r="E98" t="s">
        <v>36</v>
      </c>
      <c r="F98" s="1" t="s">
        <v>241</v>
      </c>
      <c r="G98" s="10">
        <v>60</v>
      </c>
      <c r="H98" s="14">
        <f t="shared" si="2"/>
        <v>42</v>
      </c>
      <c r="I98" s="8">
        <f t="shared" si="3"/>
        <v>54</v>
      </c>
    </row>
    <row r="99" spans="1:9" x14ac:dyDescent="0.35">
      <c r="A99" t="s">
        <v>217</v>
      </c>
      <c r="B99" t="s">
        <v>220</v>
      </c>
      <c r="C99" t="s">
        <v>221</v>
      </c>
      <c r="D99" t="s">
        <v>240</v>
      </c>
      <c r="E99" t="s">
        <v>36</v>
      </c>
      <c r="F99" s="1" t="s">
        <v>242</v>
      </c>
      <c r="G99" s="10">
        <v>90</v>
      </c>
      <c r="H99" s="14">
        <f t="shared" si="2"/>
        <v>63</v>
      </c>
      <c r="I99" s="8">
        <f t="shared" si="3"/>
        <v>81</v>
      </c>
    </row>
    <row r="100" spans="1:9" x14ac:dyDescent="0.35">
      <c r="A100" t="s">
        <v>217</v>
      </c>
      <c r="B100" t="s">
        <v>222</v>
      </c>
      <c r="C100" t="s">
        <v>223</v>
      </c>
      <c r="D100" t="s">
        <v>51</v>
      </c>
      <c r="E100" t="s">
        <v>36</v>
      </c>
      <c r="F100" s="1" t="s">
        <v>244</v>
      </c>
      <c r="G100" s="10"/>
      <c r="H100" s="14"/>
    </row>
    <row r="101" spans="1:9" x14ac:dyDescent="0.35">
      <c r="A101" t="s">
        <v>217</v>
      </c>
      <c r="B101" t="s">
        <v>224</v>
      </c>
      <c r="C101" t="s">
        <v>225</v>
      </c>
      <c r="D101" t="s">
        <v>51</v>
      </c>
      <c r="E101" t="s">
        <v>36</v>
      </c>
      <c r="F101" s="1" t="s">
        <v>245</v>
      </c>
      <c r="G101" s="10"/>
      <c r="H101" s="14"/>
    </row>
    <row r="102" spans="1:9" x14ac:dyDescent="0.35">
      <c r="A102" t="s">
        <v>217</v>
      </c>
      <c r="B102" t="s">
        <v>226</v>
      </c>
      <c r="C102" t="s">
        <v>227</v>
      </c>
      <c r="D102" t="s">
        <v>50</v>
      </c>
      <c r="E102" t="s">
        <v>36</v>
      </c>
      <c r="F102" s="1" t="s">
        <v>243</v>
      </c>
      <c r="G102" s="10">
        <v>60</v>
      </c>
      <c r="H102" s="14">
        <f t="shared" si="2"/>
        <v>42</v>
      </c>
      <c r="I102" s="8">
        <f t="shared" si="3"/>
        <v>54</v>
      </c>
    </row>
    <row r="103" spans="1:9" x14ac:dyDescent="0.35">
      <c r="A103" t="s">
        <v>217</v>
      </c>
      <c r="B103" t="s">
        <v>228</v>
      </c>
      <c r="C103" t="s">
        <v>229</v>
      </c>
      <c r="D103" t="s">
        <v>50</v>
      </c>
      <c r="E103" t="s">
        <v>36</v>
      </c>
      <c r="F103" s="1" t="s">
        <v>142</v>
      </c>
      <c r="G103" s="10">
        <v>180</v>
      </c>
      <c r="H103" s="14">
        <f t="shared" si="2"/>
        <v>126</v>
      </c>
      <c r="I103" s="8">
        <f t="shared" si="3"/>
        <v>162</v>
      </c>
    </row>
    <row r="104" spans="1:9" x14ac:dyDescent="0.35">
      <c r="A104" t="s">
        <v>217</v>
      </c>
      <c r="B104" t="s">
        <v>230</v>
      </c>
      <c r="C104" t="s">
        <v>231</v>
      </c>
      <c r="D104" t="s">
        <v>50</v>
      </c>
      <c r="E104" t="s">
        <v>36</v>
      </c>
      <c r="F104" s="1" t="s">
        <v>241</v>
      </c>
      <c r="G104" s="10">
        <v>60</v>
      </c>
      <c r="H104" s="14">
        <f t="shared" si="2"/>
        <v>42</v>
      </c>
      <c r="I104" s="8">
        <f t="shared" si="3"/>
        <v>54</v>
      </c>
    </row>
    <row r="105" spans="1:9" x14ac:dyDescent="0.35">
      <c r="A105" t="s">
        <v>217</v>
      </c>
      <c r="B105" t="s">
        <v>232</v>
      </c>
      <c r="C105" t="s">
        <v>233</v>
      </c>
      <c r="D105" t="s">
        <v>51</v>
      </c>
      <c r="E105" t="s">
        <v>36</v>
      </c>
      <c r="F105" s="1" t="s">
        <v>242</v>
      </c>
      <c r="G105" s="10">
        <v>90</v>
      </c>
      <c r="H105" s="14">
        <f t="shared" si="2"/>
        <v>63</v>
      </c>
      <c r="I105" s="8">
        <f t="shared" si="3"/>
        <v>81</v>
      </c>
    </row>
    <row r="106" spans="1:9" x14ac:dyDescent="0.35">
      <c r="A106" t="s">
        <v>217</v>
      </c>
      <c r="B106" t="s">
        <v>234</v>
      </c>
      <c r="C106" t="s">
        <v>235</v>
      </c>
      <c r="D106" t="s">
        <v>51</v>
      </c>
      <c r="E106" t="s">
        <v>36</v>
      </c>
      <c r="F106" s="1" t="s">
        <v>242</v>
      </c>
      <c r="G106" s="10">
        <v>90</v>
      </c>
      <c r="H106" s="14">
        <f t="shared" si="2"/>
        <v>63</v>
      </c>
      <c r="I106" s="8">
        <f t="shared" si="3"/>
        <v>81</v>
      </c>
    </row>
    <row r="107" spans="1:9" x14ac:dyDescent="0.35">
      <c r="A107" t="s">
        <v>217</v>
      </c>
      <c r="B107" t="s">
        <v>236</v>
      </c>
      <c r="C107" t="s">
        <v>237</v>
      </c>
      <c r="D107" t="s">
        <v>50</v>
      </c>
      <c r="E107" t="s">
        <v>103</v>
      </c>
      <c r="F107" s="1" t="s">
        <v>244</v>
      </c>
      <c r="G107" s="10"/>
      <c r="H107" s="14"/>
    </row>
    <row r="108" spans="1:9" x14ac:dyDescent="0.35">
      <c r="A108" t="s">
        <v>217</v>
      </c>
      <c r="B108" t="s">
        <v>238</v>
      </c>
      <c r="C108" t="s">
        <v>239</v>
      </c>
      <c r="D108" t="s">
        <v>50</v>
      </c>
      <c r="E108" t="s">
        <v>103</v>
      </c>
      <c r="F108" s="1" t="s">
        <v>244</v>
      </c>
      <c r="G108" s="10"/>
      <c r="H108" s="14"/>
    </row>
    <row r="109" spans="1:9" x14ac:dyDescent="0.35">
      <c r="A109" t="s">
        <v>247</v>
      </c>
      <c r="B109" t="s">
        <v>249</v>
      </c>
      <c r="C109" t="s">
        <v>250</v>
      </c>
      <c r="D109" t="s">
        <v>138</v>
      </c>
      <c r="E109" t="s">
        <v>103</v>
      </c>
      <c r="F109" t="s">
        <v>38</v>
      </c>
      <c r="G109" s="12">
        <v>60</v>
      </c>
      <c r="H109" s="14">
        <f t="shared" si="2"/>
        <v>42</v>
      </c>
      <c r="I109" s="8">
        <f t="shared" si="3"/>
        <v>54</v>
      </c>
    </row>
    <row r="110" spans="1:9" x14ac:dyDescent="0.35">
      <c r="A110" t="s">
        <v>247</v>
      </c>
      <c r="B110" t="s">
        <v>251</v>
      </c>
      <c r="C110" t="s">
        <v>252</v>
      </c>
      <c r="D110" t="s">
        <v>138</v>
      </c>
      <c r="E110" t="s">
        <v>103</v>
      </c>
      <c r="F110" t="s">
        <v>271</v>
      </c>
      <c r="G110" s="12">
        <v>60</v>
      </c>
      <c r="H110" s="14">
        <f t="shared" si="2"/>
        <v>42</v>
      </c>
      <c r="I110" s="8">
        <f t="shared" si="3"/>
        <v>54</v>
      </c>
    </row>
    <row r="111" spans="1:9" x14ac:dyDescent="0.35">
      <c r="A111" t="s">
        <v>247</v>
      </c>
      <c r="B111" t="s">
        <v>253</v>
      </c>
      <c r="C111" t="s">
        <v>254</v>
      </c>
      <c r="D111" t="s">
        <v>138</v>
      </c>
      <c r="E111" t="s">
        <v>103</v>
      </c>
      <c r="F111" t="s">
        <v>37</v>
      </c>
      <c r="G111" s="12">
        <v>90</v>
      </c>
      <c r="H111" s="14">
        <f t="shared" si="2"/>
        <v>63</v>
      </c>
      <c r="I111" s="8">
        <f t="shared" si="3"/>
        <v>81</v>
      </c>
    </row>
    <row r="112" spans="1:9" x14ac:dyDescent="0.35">
      <c r="A112" t="s">
        <v>247</v>
      </c>
      <c r="B112" t="s">
        <v>255</v>
      </c>
      <c r="C112" t="s">
        <v>256</v>
      </c>
      <c r="D112" t="s">
        <v>138</v>
      </c>
      <c r="E112" t="s">
        <v>146</v>
      </c>
      <c r="F112" t="s">
        <v>37</v>
      </c>
      <c r="G112" s="12">
        <v>90</v>
      </c>
      <c r="H112" s="14">
        <f t="shared" si="2"/>
        <v>63</v>
      </c>
      <c r="I112" s="8">
        <f t="shared" si="3"/>
        <v>81</v>
      </c>
    </row>
    <row r="113" spans="1:9" x14ac:dyDescent="0.35">
      <c r="A113" t="s">
        <v>247</v>
      </c>
      <c r="B113" t="s">
        <v>257</v>
      </c>
      <c r="C113" t="s">
        <v>258</v>
      </c>
      <c r="D113" t="s">
        <v>183</v>
      </c>
      <c r="E113" t="s">
        <v>36</v>
      </c>
      <c r="F113" t="s">
        <v>272</v>
      </c>
      <c r="G113" s="12">
        <v>180</v>
      </c>
      <c r="H113" s="14">
        <f t="shared" si="2"/>
        <v>126</v>
      </c>
      <c r="I113" s="8">
        <f t="shared" si="3"/>
        <v>162</v>
      </c>
    </row>
    <row r="114" spans="1:9" x14ac:dyDescent="0.35">
      <c r="A114" t="s">
        <v>247</v>
      </c>
      <c r="B114" t="s">
        <v>259</v>
      </c>
      <c r="C114" t="s">
        <v>260</v>
      </c>
      <c r="D114" t="s">
        <v>183</v>
      </c>
      <c r="E114" t="s">
        <v>146</v>
      </c>
      <c r="F114" t="s">
        <v>37</v>
      </c>
      <c r="G114" s="12">
        <v>90</v>
      </c>
      <c r="H114" s="14">
        <f t="shared" si="2"/>
        <v>63</v>
      </c>
      <c r="I114" s="8">
        <f t="shared" si="3"/>
        <v>81</v>
      </c>
    </row>
    <row r="115" spans="1:9" x14ac:dyDescent="0.35">
      <c r="A115" t="s">
        <v>247</v>
      </c>
      <c r="B115" t="s">
        <v>261</v>
      </c>
      <c r="C115" t="s">
        <v>262</v>
      </c>
      <c r="D115" t="s">
        <v>240</v>
      </c>
      <c r="E115" t="s">
        <v>36</v>
      </c>
      <c r="F115" t="s">
        <v>145</v>
      </c>
      <c r="G115" s="12">
        <v>30</v>
      </c>
      <c r="H115" s="14">
        <f t="shared" si="2"/>
        <v>21</v>
      </c>
      <c r="I115" s="8">
        <f t="shared" si="3"/>
        <v>27</v>
      </c>
    </row>
    <row r="116" spans="1:9" x14ac:dyDescent="0.35">
      <c r="A116" t="s">
        <v>247</v>
      </c>
      <c r="B116" t="s">
        <v>263</v>
      </c>
      <c r="C116" t="s">
        <v>167</v>
      </c>
      <c r="D116" t="s">
        <v>183</v>
      </c>
      <c r="E116" t="s">
        <v>36</v>
      </c>
      <c r="F116" t="s">
        <v>37</v>
      </c>
      <c r="G116" s="12">
        <v>90</v>
      </c>
      <c r="H116" s="14">
        <f t="shared" si="2"/>
        <v>63</v>
      </c>
      <c r="I116" s="8">
        <f t="shared" si="3"/>
        <v>81</v>
      </c>
    </row>
    <row r="117" spans="1:9" x14ac:dyDescent="0.35">
      <c r="A117" t="s">
        <v>247</v>
      </c>
      <c r="B117" t="s">
        <v>264</v>
      </c>
      <c r="C117" t="s">
        <v>265</v>
      </c>
      <c r="D117" t="s">
        <v>213</v>
      </c>
      <c r="E117" t="s">
        <v>36</v>
      </c>
      <c r="F117" t="s">
        <v>145</v>
      </c>
      <c r="G117" s="12">
        <v>30</v>
      </c>
      <c r="H117" s="14">
        <f t="shared" si="2"/>
        <v>21</v>
      </c>
      <c r="I117" s="8">
        <f t="shared" si="3"/>
        <v>27</v>
      </c>
    </row>
    <row r="118" spans="1:9" x14ac:dyDescent="0.35">
      <c r="A118" t="s">
        <v>247</v>
      </c>
      <c r="B118" t="s">
        <v>266</v>
      </c>
      <c r="C118" t="s">
        <v>267</v>
      </c>
      <c r="D118" t="s">
        <v>195</v>
      </c>
      <c r="E118" t="s">
        <v>36</v>
      </c>
      <c r="F118" t="s">
        <v>273</v>
      </c>
      <c r="G118" s="12">
        <v>30</v>
      </c>
      <c r="H118" s="14">
        <f t="shared" si="2"/>
        <v>21</v>
      </c>
      <c r="I118" s="8">
        <f t="shared" si="3"/>
        <v>27</v>
      </c>
    </row>
    <row r="119" spans="1:9" x14ac:dyDescent="0.35">
      <c r="A119" t="s">
        <v>247</v>
      </c>
      <c r="B119" t="s">
        <v>268</v>
      </c>
      <c r="C119" t="s">
        <v>267</v>
      </c>
      <c r="D119" t="s">
        <v>195</v>
      </c>
      <c r="E119" t="s">
        <v>36</v>
      </c>
      <c r="F119" t="s">
        <v>145</v>
      </c>
      <c r="G119" s="12">
        <v>30</v>
      </c>
      <c r="H119" s="14">
        <f t="shared" si="2"/>
        <v>21</v>
      </c>
      <c r="I119" s="8">
        <f t="shared" si="3"/>
        <v>27</v>
      </c>
    </row>
    <row r="120" spans="1:9" x14ac:dyDescent="0.35">
      <c r="A120" t="s">
        <v>247</v>
      </c>
      <c r="B120" t="s">
        <v>269</v>
      </c>
      <c r="C120" t="s">
        <v>270</v>
      </c>
      <c r="D120" t="s">
        <v>195</v>
      </c>
      <c r="E120" t="s">
        <v>36</v>
      </c>
      <c r="F120" t="s">
        <v>38</v>
      </c>
      <c r="G120" s="12">
        <v>60</v>
      </c>
      <c r="H120" s="14">
        <f t="shared" si="2"/>
        <v>42</v>
      </c>
      <c r="I120" s="8">
        <f t="shared" si="3"/>
        <v>54</v>
      </c>
    </row>
    <row r="121" spans="1:9" s="15" customFormat="1" x14ac:dyDescent="0.35">
      <c r="A121" s="15" t="s">
        <v>542</v>
      </c>
      <c r="B121" s="15" t="s">
        <v>275</v>
      </c>
      <c r="C121" s="15" t="s">
        <v>276</v>
      </c>
      <c r="D121" s="15" t="s">
        <v>183</v>
      </c>
      <c r="E121" s="15" t="s">
        <v>36</v>
      </c>
      <c r="F121" s="15" t="s">
        <v>142</v>
      </c>
      <c r="G121" s="16">
        <v>180</v>
      </c>
      <c r="H121" s="17">
        <f t="shared" si="2"/>
        <v>126</v>
      </c>
      <c r="I121" s="18">
        <f t="shared" si="3"/>
        <v>162</v>
      </c>
    </row>
    <row r="122" spans="1:9" s="15" customFormat="1" x14ac:dyDescent="0.35">
      <c r="A122" s="15" t="s">
        <v>542</v>
      </c>
      <c r="B122" s="15" t="s">
        <v>277</v>
      </c>
      <c r="C122" s="15" t="s">
        <v>278</v>
      </c>
      <c r="D122" s="15" t="s">
        <v>183</v>
      </c>
      <c r="E122" s="15" t="s">
        <v>36</v>
      </c>
      <c r="F122" s="15" t="s">
        <v>73</v>
      </c>
      <c r="G122" s="16"/>
      <c r="H122" s="17"/>
      <c r="I122" s="18"/>
    </row>
    <row r="123" spans="1:9" s="15" customFormat="1" x14ac:dyDescent="0.35">
      <c r="A123" s="15" t="s">
        <v>542</v>
      </c>
      <c r="B123" s="15" t="s">
        <v>279</v>
      </c>
      <c r="C123" s="15" t="s">
        <v>280</v>
      </c>
      <c r="D123" s="15" t="s">
        <v>301</v>
      </c>
      <c r="E123" s="15" t="s">
        <v>36</v>
      </c>
      <c r="F123" s="15" t="s">
        <v>297</v>
      </c>
      <c r="G123" s="16">
        <v>15</v>
      </c>
      <c r="H123" s="17">
        <f t="shared" si="2"/>
        <v>11</v>
      </c>
      <c r="I123" s="18">
        <f t="shared" si="3"/>
        <v>14</v>
      </c>
    </row>
    <row r="124" spans="1:9" s="15" customFormat="1" x14ac:dyDescent="0.35">
      <c r="A124" s="15" t="s">
        <v>542</v>
      </c>
      <c r="B124" s="15" t="s">
        <v>281</v>
      </c>
      <c r="C124" s="15" t="s">
        <v>282</v>
      </c>
      <c r="D124" s="15" t="s">
        <v>213</v>
      </c>
      <c r="E124" s="15" t="s">
        <v>36</v>
      </c>
      <c r="F124" s="15" t="s">
        <v>142</v>
      </c>
      <c r="G124" s="16">
        <v>180</v>
      </c>
      <c r="H124" s="17">
        <f t="shared" si="2"/>
        <v>126</v>
      </c>
      <c r="I124" s="18">
        <f t="shared" si="3"/>
        <v>162</v>
      </c>
    </row>
    <row r="125" spans="1:9" s="15" customFormat="1" x14ac:dyDescent="0.35">
      <c r="A125" s="15" t="s">
        <v>542</v>
      </c>
      <c r="B125" s="15" t="s">
        <v>283</v>
      </c>
      <c r="C125" s="15" t="s">
        <v>284</v>
      </c>
      <c r="D125" s="15" t="s">
        <v>183</v>
      </c>
      <c r="E125" s="15" t="s">
        <v>36</v>
      </c>
      <c r="F125" s="15" t="s">
        <v>245</v>
      </c>
      <c r="G125" s="16"/>
      <c r="H125" s="17"/>
      <c r="I125" s="18"/>
    </row>
    <row r="126" spans="1:9" s="15" customFormat="1" x14ac:dyDescent="0.35">
      <c r="A126" s="15" t="s">
        <v>542</v>
      </c>
      <c r="B126" s="15" t="s">
        <v>285</v>
      </c>
      <c r="C126" s="15" t="s">
        <v>286</v>
      </c>
      <c r="D126" s="15" t="s">
        <v>183</v>
      </c>
      <c r="E126" s="15" t="s">
        <v>146</v>
      </c>
      <c r="F126" s="15" t="s">
        <v>142</v>
      </c>
      <c r="G126" s="16">
        <v>180</v>
      </c>
      <c r="H126" s="17">
        <f t="shared" si="2"/>
        <v>126</v>
      </c>
      <c r="I126" s="18">
        <f t="shared" si="3"/>
        <v>162</v>
      </c>
    </row>
    <row r="127" spans="1:9" s="15" customFormat="1" x14ac:dyDescent="0.35">
      <c r="A127" s="15" t="s">
        <v>542</v>
      </c>
      <c r="B127" s="15" t="s">
        <v>287</v>
      </c>
      <c r="C127" s="15" t="s">
        <v>288</v>
      </c>
      <c r="D127" s="15" t="s">
        <v>301</v>
      </c>
      <c r="E127" s="15" t="s">
        <v>36</v>
      </c>
      <c r="F127" s="15" t="s">
        <v>298</v>
      </c>
      <c r="G127" s="16">
        <v>150</v>
      </c>
      <c r="H127" s="17">
        <f t="shared" si="2"/>
        <v>105</v>
      </c>
      <c r="I127" s="18">
        <f t="shared" si="3"/>
        <v>135</v>
      </c>
    </row>
    <row r="128" spans="1:9" s="15" customFormat="1" x14ac:dyDescent="0.35">
      <c r="A128" s="15" t="s">
        <v>542</v>
      </c>
      <c r="B128" s="15" t="s">
        <v>289</v>
      </c>
      <c r="C128" s="15" t="s">
        <v>290</v>
      </c>
      <c r="D128" s="15" t="s">
        <v>138</v>
      </c>
      <c r="E128" s="15" t="s">
        <v>103</v>
      </c>
      <c r="F128" s="15" t="s">
        <v>299</v>
      </c>
      <c r="G128" s="16">
        <v>120</v>
      </c>
      <c r="H128" s="17">
        <f t="shared" si="2"/>
        <v>84</v>
      </c>
      <c r="I128" s="18">
        <f t="shared" si="3"/>
        <v>108</v>
      </c>
    </row>
    <row r="129" spans="1:9" s="15" customFormat="1" x14ac:dyDescent="0.35">
      <c r="A129" s="15" t="s">
        <v>542</v>
      </c>
      <c r="B129" s="15" t="s">
        <v>291</v>
      </c>
      <c r="C129" s="15" t="s">
        <v>292</v>
      </c>
      <c r="D129" s="15" t="s">
        <v>138</v>
      </c>
      <c r="E129" s="15" t="s">
        <v>146</v>
      </c>
      <c r="F129" s="15" t="s">
        <v>300</v>
      </c>
      <c r="G129" s="16">
        <v>120</v>
      </c>
      <c r="H129" s="17">
        <f t="shared" si="2"/>
        <v>84</v>
      </c>
      <c r="I129" s="18">
        <f t="shared" si="3"/>
        <v>108</v>
      </c>
    </row>
    <row r="130" spans="1:9" s="15" customFormat="1" ht="22" x14ac:dyDescent="0.35">
      <c r="A130" s="15" t="s">
        <v>542</v>
      </c>
      <c r="B130" s="19" t="s">
        <v>293</v>
      </c>
      <c r="C130" s="15" t="s">
        <v>294</v>
      </c>
      <c r="D130" s="15" t="s">
        <v>138</v>
      </c>
      <c r="E130" s="15" t="s">
        <v>67</v>
      </c>
      <c r="F130" s="15" t="s">
        <v>300</v>
      </c>
      <c r="G130" s="16">
        <v>120</v>
      </c>
      <c r="H130" s="17">
        <f t="shared" si="2"/>
        <v>84</v>
      </c>
      <c r="I130" s="18">
        <f t="shared" si="3"/>
        <v>108</v>
      </c>
    </row>
    <row r="131" spans="1:9" s="15" customFormat="1" x14ac:dyDescent="0.35">
      <c r="A131" s="15" t="s">
        <v>542</v>
      </c>
      <c r="B131" s="15" t="s">
        <v>295</v>
      </c>
      <c r="C131" s="15" t="s">
        <v>296</v>
      </c>
      <c r="D131" s="15" t="s">
        <v>183</v>
      </c>
      <c r="E131" s="15" t="s">
        <v>146</v>
      </c>
      <c r="F131" s="15" t="s">
        <v>245</v>
      </c>
      <c r="G131" s="16"/>
      <c r="H131" s="17"/>
      <c r="I131" s="18"/>
    </row>
    <row r="132" spans="1:9" x14ac:dyDescent="0.35">
      <c r="A132" t="s">
        <v>302</v>
      </c>
      <c r="B132" t="s">
        <v>303</v>
      </c>
      <c r="C132" t="s">
        <v>304</v>
      </c>
      <c r="D132" t="s">
        <v>240</v>
      </c>
      <c r="E132" t="s">
        <v>36</v>
      </c>
      <c r="F132" t="s">
        <v>241</v>
      </c>
      <c r="G132" s="12">
        <v>60</v>
      </c>
      <c r="H132" s="14">
        <f t="shared" si="2"/>
        <v>42</v>
      </c>
      <c r="I132" s="8">
        <f t="shared" si="3"/>
        <v>54</v>
      </c>
    </row>
    <row r="133" spans="1:9" x14ac:dyDescent="0.35">
      <c r="A133" t="s">
        <v>302</v>
      </c>
      <c r="B133" t="s">
        <v>305</v>
      </c>
      <c r="D133" t="s">
        <v>51</v>
      </c>
      <c r="E133" t="s">
        <v>36</v>
      </c>
      <c r="F133" t="s">
        <v>242</v>
      </c>
      <c r="G133" s="12">
        <v>90</v>
      </c>
      <c r="H133" s="14">
        <f t="shared" si="2"/>
        <v>63</v>
      </c>
      <c r="I133" s="8">
        <f t="shared" si="3"/>
        <v>81</v>
      </c>
    </row>
    <row r="134" spans="1:9" x14ac:dyDescent="0.35">
      <c r="A134" t="s">
        <v>302</v>
      </c>
      <c r="B134" t="s">
        <v>306</v>
      </c>
      <c r="D134" t="s">
        <v>51</v>
      </c>
      <c r="E134" t="s">
        <v>36</v>
      </c>
      <c r="F134" t="s">
        <v>241</v>
      </c>
      <c r="G134" s="12">
        <v>60</v>
      </c>
      <c r="H134" s="14">
        <f t="shared" si="2"/>
        <v>42</v>
      </c>
      <c r="I134" s="8">
        <f t="shared" si="3"/>
        <v>54</v>
      </c>
    </row>
    <row r="135" spans="1:9" x14ac:dyDescent="0.35">
      <c r="A135" t="s">
        <v>302</v>
      </c>
      <c r="B135" t="s">
        <v>307</v>
      </c>
      <c r="D135" t="s">
        <v>50</v>
      </c>
      <c r="E135" t="s">
        <v>67</v>
      </c>
      <c r="F135" t="s">
        <v>315</v>
      </c>
      <c r="G135" s="12">
        <v>30</v>
      </c>
      <c r="H135" s="14">
        <f t="shared" si="2"/>
        <v>21</v>
      </c>
      <c r="I135" s="8">
        <f t="shared" si="3"/>
        <v>27</v>
      </c>
    </row>
    <row r="136" spans="1:9" x14ac:dyDescent="0.35">
      <c r="A136" t="s">
        <v>302</v>
      </c>
      <c r="B136" t="s">
        <v>308</v>
      </c>
      <c r="D136" t="s">
        <v>50</v>
      </c>
      <c r="E136" t="s">
        <v>67</v>
      </c>
      <c r="F136" t="s">
        <v>315</v>
      </c>
      <c r="G136" s="12">
        <v>30</v>
      </c>
      <c r="H136" s="14">
        <f t="shared" si="2"/>
        <v>21</v>
      </c>
      <c r="I136" s="8">
        <f t="shared" si="3"/>
        <v>27</v>
      </c>
    </row>
    <row r="137" spans="1:9" x14ac:dyDescent="0.35">
      <c r="A137" t="s">
        <v>302</v>
      </c>
      <c r="B137" t="s">
        <v>309</v>
      </c>
      <c r="C137" t="s">
        <v>310</v>
      </c>
      <c r="D137" t="s">
        <v>50</v>
      </c>
      <c r="E137" t="s">
        <v>36</v>
      </c>
      <c r="F137" t="s">
        <v>242</v>
      </c>
      <c r="G137" s="12">
        <v>90</v>
      </c>
      <c r="H137" s="14">
        <f t="shared" si="2"/>
        <v>63</v>
      </c>
      <c r="I137" s="8">
        <f t="shared" si="3"/>
        <v>81</v>
      </c>
    </row>
    <row r="138" spans="1:9" x14ac:dyDescent="0.35">
      <c r="A138" t="s">
        <v>302</v>
      </c>
      <c r="B138" t="s">
        <v>311</v>
      </c>
      <c r="C138" t="s">
        <v>310</v>
      </c>
      <c r="D138" t="s">
        <v>50</v>
      </c>
      <c r="E138" t="s">
        <v>146</v>
      </c>
      <c r="F138" t="s">
        <v>316</v>
      </c>
      <c r="G138" s="12">
        <v>30</v>
      </c>
      <c r="H138" s="14">
        <f t="shared" si="2"/>
        <v>21</v>
      </c>
      <c r="I138" s="8">
        <f t="shared" si="3"/>
        <v>27</v>
      </c>
    </row>
    <row r="139" spans="1:9" x14ac:dyDescent="0.35">
      <c r="A139" t="s">
        <v>302</v>
      </c>
      <c r="B139" t="s">
        <v>312</v>
      </c>
      <c r="D139" t="s">
        <v>50</v>
      </c>
      <c r="E139" t="s">
        <v>146</v>
      </c>
      <c r="F139" t="s">
        <v>242</v>
      </c>
      <c r="G139" s="12">
        <v>90</v>
      </c>
      <c r="H139" s="14">
        <f t="shared" si="2"/>
        <v>63</v>
      </c>
      <c r="I139" s="8">
        <f t="shared" si="3"/>
        <v>81</v>
      </c>
    </row>
    <row r="140" spans="1:9" x14ac:dyDescent="0.35">
      <c r="A140" t="s">
        <v>302</v>
      </c>
      <c r="B140" t="s">
        <v>313</v>
      </c>
      <c r="C140" t="s">
        <v>314</v>
      </c>
      <c r="D140" t="s">
        <v>50</v>
      </c>
      <c r="E140" t="s">
        <v>67</v>
      </c>
      <c r="F140" t="s">
        <v>242</v>
      </c>
      <c r="G140" s="12">
        <v>90</v>
      </c>
      <c r="H140" s="14">
        <f t="shared" si="2"/>
        <v>63</v>
      </c>
      <c r="I140" s="8">
        <f t="shared" si="3"/>
        <v>81</v>
      </c>
    </row>
    <row r="141" spans="1:9" x14ac:dyDescent="0.35">
      <c r="A141" s="2" t="s">
        <v>317</v>
      </c>
      <c r="B141" t="s">
        <v>318</v>
      </c>
      <c r="C141" t="s">
        <v>231</v>
      </c>
      <c r="D141" t="s">
        <v>338</v>
      </c>
      <c r="E141" t="s">
        <v>67</v>
      </c>
      <c r="F141" t="s">
        <v>242</v>
      </c>
      <c r="G141" s="12">
        <v>90</v>
      </c>
      <c r="H141" s="14">
        <f t="shared" si="2"/>
        <v>63</v>
      </c>
      <c r="I141" s="8">
        <f t="shared" si="3"/>
        <v>81</v>
      </c>
    </row>
    <row r="142" spans="1:9" x14ac:dyDescent="0.35">
      <c r="A142" s="2" t="s">
        <v>317</v>
      </c>
      <c r="B142" t="s">
        <v>319</v>
      </c>
      <c r="C142" t="s">
        <v>23</v>
      </c>
      <c r="D142" t="s">
        <v>51</v>
      </c>
      <c r="E142" t="s">
        <v>36</v>
      </c>
      <c r="F142" t="s">
        <v>241</v>
      </c>
      <c r="G142" s="12">
        <v>60</v>
      </c>
      <c r="H142" s="14">
        <f t="shared" ref="H142:H205" si="4">ROUND(0.7*G142,0)</f>
        <v>42</v>
      </c>
      <c r="I142" s="8">
        <f t="shared" ref="I142:I205" si="5">ROUND(0.9*G142,0)</f>
        <v>54</v>
      </c>
    </row>
    <row r="143" spans="1:9" x14ac:dyDescent="0.35">
      <c r="A143" s="2" t="s">
        <v>317</v>
      </c>
      <c r="B143" t="s">
        <v>320</v>
      </c>
      <c r="C143" t="s">
        <v>321</v>
      </c>
      <c r="D143" t="s">
        <v>240</v>
      </c>
      <c r="E143" t="s">
        <v>36</v>
      </c>
      <c r="F143" t="s">
        <v>339</v>
      </c>
      <c r="G143" s="12">
        <v>180</v>
      </c>
      <c r="H143" s="14">
        <f t="shared" si="4"/>
        <v>126</v>
      </c>
      <c r="I143" s="8">
        <f t="shared" si="5"/>
        <v>162</v>
      </c>
    </row>
    <row r="144" spans="1:9" x14ac:dyDescent="0.35">
      <c r="A144" s="2" t="s">
        <v>317</v>
      </c>
      <c r="B144" t="s">
        <v>322</v>
      </c>
      <c r="C144" t="s">
        <v>323</v>
      </c>
      <c r="D144" t="s">
        <v>50</v>
      </c>
      <c r="E144" t="s">
        <v>146</v>
      </c>
      <c r="F144" t="s">
        <v>339</v>
      </c>
      <c r="G144" s="12">
        <v>180</v>
      </c>
      <c r="H144" s="14">
        <f t="shared" si="4"/>
        <v>126</v>
      </c>
      <c r="I144" s="8">
        <f t="shared" si="5"/>
        <v>162</v>
      </c>
    </row>
    <row r="145" spans="1:9" x14ac:dyDescent="0.35">
      <c r="A145" s="2" t="s">
        <v>317</v>
      </c>
      <c r="B145" t="s">
        <v>324</v>
      </c>
      <c r="C145" t="s">
        <v>325</v>
      </c>
      <c r="D145" t="s">
        <v>50</v>
      </c>
      <c r="E145" t="s">
        <v>36</v>
      </c>
      <c r="F145" t="s">
        <v>339</v>
      </c>
      <c r="G145" s="12">
        <v>180</v>
      </c>
      <c r="H145" s="14">
        <f t="shared" si="4"/>
        <v>126</v>
      </c>
      <c r="I145" s="8">
        <f t="shared" si="5"/>
        <v>162</v>
      </c>
    </row>
    <row r="146" spans="1:9" x14ac:dyDescent="0.35">
      <c r="A146" s="2" t="s">
        <v>317</v>
      </c>
      <c r="B146" t="s">
        <v>326</v>
      </c>
      <c r="C146" t="s">
        <v>327</v>
      </c>
      <c r="D146" t="s">
        <v>240</v>
      </c>
      <c r="E146" t="s">
        <v>36</v>
      </c>
      <c r="F146" t="s">
        <v>142</v>
      </c>
      <c r="G146" s="12">
        <v>180</v>
      </c>
      <c r="H146" s="14">
        <f t="shared" si="4"/>
        <v>126</v>
      </c>
      <c r="I146" s="8">
        <f t="shared" si="5"/>
        <v>162</v>
      </c>
    </row>
    <row r="147" spans="1:9" x14ac:dyDescent="0.35">
      <c r="A147" s="2" t="s">
        <v>317</v>
      </c>
      <c r="B147" t="s">
        <v>328</v>
      </c>
      <c r="C147" t="s">
        <v>329</v>
      </c>
      <c r="D147" t="s">
        <v>50</v>
      </c>
      <c r="E147" t="s">
        <v>36</v>
      </c>
      <c r="F147" t="s">
        <v>242</v>
      </c>
      <c r="G147" s="12">
        <v>90</v>
      </c>
      <c r="H147" s="14">
        <f t="shared" si="4"/>
        <v>63</v>
      </c>
      <c r="I147" s="8">
        <f t="shared" si="5"/>
        <v>81</v>
      </c>
    </row>
    <row r="148" spans="1:9" x14ac:dyDescent="0.35">
      <c r="A148" s="2" t="s">
        <v>317</v>
      </c>
      <c r="B148" t="s">
        <v>330</v>
      </c>
      <c r="C148" t="s">
        <v>331</v>
      </c>
      <c r="D148" t="s">
        <v>50</v>
      </c>
      <c r="E148" t="s">
        <v>36</v>
      </c>
      <c r="F148" t="s">
        <v>242</v>
      </c>
      <c r="G148" s="12">
        <v>90</v>
      </c>
      <c r="H148" s="14">
        <f t="shared" si="4"/>
        <v>63</v>
      </c>
      <c r="I148" s="8">
        <f t="shared" si="5"/>
        <v>81</v>
      </c>
    </row>
    <row r="149" spans="1:9" x14ac:dyDescent="0.35">
      <c r="A149" s="2" t="s">
        <v>317</v>
      </c>
      <c r="B149" t="s">
        <v>332</v>
      </c>
      <c r="C149" t="s">
        <v>333</v>
      </c>
      <c r="D149" t="s">
        <v>50</v>
      </c>
      <c r="E149" t="s">
        <v>36</v>
      </c>
      <c r="F149" t="s">
        <v>242</v>
      </c>
      <c r="G149" s="12">
        <v>90</v>
      </c>
      <c r="H149" s="14">
        <f t="shared" si="4"/>
        <v>63</v>
      </c>
      <c r="I149" s="8">
        <f t="shared" si="5"/>
        <v>81</v>
      </c>
    </row>
    <row r="150" spans="1:9" x14ac:dyDescent="0.35">
      <c r="A150" s="2" t="s">
        <v>317</v>
      </c>
      <c r="B150" t="s">
        <v>334</v>
      </c>
      <c r="C150" t="s">
        <v>335</v>
      </c>
      <c r="D150" t="s">
        <v>50</v>
      </c>
      <c r="E150" t="s">
        <v>36</v>
      </c>
      <c r="F150" t="s">
        <v>339</v>
      </c>
      <c r="G150" s="12">
        <v>90</v>
      </c>
      <c r="H150" s="14">
        <f t="shared" si="4"/>
        <v>63</v>
      </c>
      <c r="I150" s="8">
        <f t="shared" si="5"/>
        <v>81</v>
      </c>
    </row>
    <row r="151" spans="1:9" x14ac:dyDescent="0.35">
      <c r="A151" s="2" t="s">
        <v>317</v>
      </c>
      <c r="B151" t="s">
        <v>336</v>
      </c>
      <c r="C151" t="s">
        <v>337</v>
      </c>
      <c r="D151" t="s">
        <v>240</v>
      </c>
      <c r="E151" t="s">
        <v>36</v>
      </c>
      <c r="F151" t="s">
        <v>315</v>
      </c>
      <c r="G151" s="12">
        <v>30</v>
      </c>
      <c r="H151" s="14">
        <f t="shared" si="4"/>
        <v>21</v>
      </c>
      <c r="I151" s="8">
        <f t="shared" si="5"/>
        <v>27</v>
      </c>
    </row>
    <row r="152" spans="1:9" x14ac:dyDescent="0.35">
      <c r="A152" t="s">
        <v>340</v>
      </c>
      <c r="B152" t="s">
        <v>341</v>
      </c>
      <c r="D152" t="s">
        <v>195</v>
      </c>
      <c r="E152" t="s">
        <v>36</v>
      </c>
      <c r="F152" t="s">
        <v>351</v>
      </c>
      <c r="G152" s="12">
        <v>360</v>
      </c>
      <c r="H152" s="14">
        <f t="shared" si="4"/>
        <v>252</v>
      </c>
      <c r="I152" s="8">
        <f t="shared" si="5"/>
        <v>324</v>
      </c>
    </row>
    <row r="153" spans="1:9" x14ac:dyDescent="0.35">
      <c r="A153" t="s">
        <v>340</v>
      </c>
      <c r="B153" t="s">
        <v>342</v>
      </c>
      <c r="D153" t="s">
        <v>51</v>
      </c>
      <c r="E153" t="s">
        <v>36</v>
      </c>
      <c r="F153" t="s">
        <v>351</v>
      </c>
      <c r="G153" s="12">
        <v>360</v>
      </c>
      <c r="H153" s="14">
        <f t="shared" si="4"/>
        <v>252</v>
      </c>
      <c r="I153" s="8">
        <f t="shared" si="5"/>
        <v>324</v>
      </c>
    </row>
    <row r="154" spans="1:9" x14ac:dyDescent="0.35">
      <c r="A154" t="s">
        <v>340</v>
      </c>
      <c r="B154" t="s">
        <v>343</v>
      </c>
      <c r="D154" t="s">
        <v>51</v>
      </c>
      <c r="E154" t="s">
        <v>146</v>
      </c>
      <c r="F154" t="s">
        <v>351</v>
      </c>
      <c r="G154" s="12">
        <v>360</v>
      </c>
      <c r="H154" s="14">
        <f t="shared" si="4"/>
        <v>252</v>
      </c>
      <c r="I154" s="8">
        <f t="shared" si="5"/>
        <v>324</v>
      </c>
    </row>
    <row r="155" spans="1:9" x14ac:dyDescent="0.35">
      <c r="A155" t="s">
        <v>340</v>
      </c>
      <c r="B155" t="s">
        <v>344</v>
      </c>
      <c r="D155" t="s">
        <v>195</v>
      </c>
      <c r="E155" t="s">
        <v>36</v>
      </c>
      <c r="F155" t="s">
        <v>352</v>
      </c>
      <c r="G155" s="12">
        <v>270</v>
      </c>
      <c r="H155" s="14">
        <f t="shared" si="4"/>
        <v>189</v>
      </c>
      <c r="I155" s="8">
        <f t="shared" si="5"/>
        <v>243</v>
      </c>
    </row>
    <row r="156" spans="1:9" x14ac:dyDescent="0.35">
      <c r="A156" t="s">
        <v>340</v>
      </c>
      <c r="B156" t="s">
        <v>345</v>
      </c>
      <c r="D156" t="s">
        <v>195</v>
      </c>
      <c r="E156" t="s">
        <v>36</v>
      </c>
      <c r="F156" t="s">
        <v>142</v>
      </c>
      <c r="G156" s="12">
        <v>180</v>
      </c>
      <c r="H156" s="14">
        <f t="shared" si="4"/>
        <v>126</v>
      </c>
      <c r="I156" s="8">
        <f t="shared" si="5"/>
        <v>162</v>
      </c>
    </row>
    <row r="157" spans="1:9" x14ac:dyDescent="0.35">
      <c r="A157" t="s">
        <v>340</v>
      </c>
      <c r="B157" t="s">
        <v>346</v>
      </c>
      <c r="D157" t="s">
        <v>50</v>
      </c>
      <c r="E157" t="s">
        <v>36</v>
      </c>
      <c r="F157" t="s">
        <v>351</v>
      </c>
      <c r="G157" s="12">
        <v>360</v>
      </c>
      <c r="H157" s="14">
        <f t="shared" si="4"/>
        <v>252</v>
      </c>
      <c r="I157" s="8">
        <f t="shared" si="5"/>
        <v>324</v>
      </c>
    </row>
    <row r="158" spans="1:9" x14ac:dyDescent="0.35">
      <c r="A158" t="s">
        <v>340</v>
      </c>
      <c r="B158" t="s">
        <v>206</v>
      </c>
      <c r="D158" t="s">
        <v>195</v>
      </c>
      <c r="E158" t="s">
        <v>36</v>
      </c>
      <c r="F158" t="s">
        <v>299</v>
      </c>
      <c r="G158" s="12">
        <v>120</v>
      </c>
      <c r="H158" s="14">
        <f t="shared" si="4"/>
        <v>84</v>
      </c>
      <c r="I158" s="8">
        <f t="shared" si="5"/>
        <v>108</v>
      </c>
    </row>
    <row r="159" spans="1:9" x14ac:dyDescent="0.35">
      <c r="A159" t="s">
        <v>340</v>
      </c>
      <c r="B159" t="s">
        <v>347</v>
      </c>
      <c r="D159" t="s">
        <v>50</v>
      </c>
      <c r="E159" t="s">
        <v>67</v>
      </c>
      <c r="F159" t="s">
        <v>39</v>
      </c>
      <c r="G159" s="12">
        <v>30</v>
      </c>
      <c r="H159" s="14">
        <f t="shared" si="4"/>
        <v>21</v>
      </c>
      <c r="I159" s="8">
        <f t="shared" si="5"/>
        <v>27</v>
      </c>
    </row>
    <row r="160" spans="1:9" x14ac:dyDescent="0.35">
      <c r="A160" t="s">
        <v>340</v>
      </c>
      <c r="B160" t="s">
        <v>348</v>
      </c>
      <c r="D160" t="s">
        <v>51</v>
      </c>
      <c r="E160" t="s">
        <v>103</v>
      </c>
      <c r="F160" t="s">
        <v>143</v>
      </c>
      <c r="G160" s="12">
        <v>15</v>
      </c>
      <c r="H160" s="14">
        <f t="shared" si="4"/>
        <v>11</v>
      </c>
      <c r="I160" s="8">
        <f t="shared" si="5"/>
        <v>14</v>
      </c>
    </row>
    <row r="161" spans="1:9" x14ac:dyDescent="0.35">
      <c r="A161" t="s">
        <v>340</v>
      </c>
      <c r="B161" t="s">
        <v>349</v>
      </c>
      <c r="D161" t="s">
        <v>350</v>
      </c>
      <c r="E161" t="s">
        <v>146</v>
      </c>
      <c r="F161" t="s">
        <v>353</v>
      </c>
      <c r="G161" s="12">
        <v>7</v>
      </c>
      <c r="H161" s="14">
        <f t="shared" si="4"/>
        <v>5</v>
      </c>
      <c r="I161" s="8">
        <f t="shared" si="5"/>
        <v>6</v>
      </c>
    </row>
    <row r="162" spans="1:9" x14ac:dyDescent="0.35">
      <c r="A162" t="s">
        <v>354</v>
      </c>
      <c r="B162" t="s">
        <v>355</v>
      </c>
      <c r="C162" t="s">
        <v>356</v>
      </c>
      <c r="D162" t="s">
        <v>183</v>
      </c>
      <c r="E162" t="s">
        <v>103</v>
      </c>
      <c r="F162" t="s">
        <v>372</v>
      </c>
      <c r="G162" s="12">
        <v>540</v>
      </c>
      <c r="H162" s="14">
        <f t="shared" si="4"/>
        <v>378</v>
      </c>
      <c r="I162" s="8">
        <f t="shared" si="5"/>
        <v>486</v>
      </c>
    </row>
    <row r="163" spans="1:9" x14ac:dyDescent="0.35">
      <c r="A163" t="s">
        <v>354</v>
      </c>
      <c r="B163" t="s">
        <v>357</v>
      </c>
      <c r="C163" t="s">
        <v>358</v>
      </c>
      <c r="D163" t="s">
        <v>183</v>
      </c>
      <c r="E163" t="s">
        <v>36</v>
      </c>
      <c r="F163" t="s">
        <v>351</v>
      </c>
      <c r="G163" s="12">
        <v>360</v>
      </c>
      <c r="H163" s="14">
        <f t="shared" si="4"/>
        <v>252</v>
      </c>
      <c r="I163" s="8">
        <f t="shared" si="5"/>
        <v>324</v>
      </c>
    </row>
    <row r="164" spans="1:9" x14ac:dyDescent="0.35">
      <c r="A164" t="s">
        <v>354</v>
      </c>
      <c r="B164" t="s">
        <v>359</v>
      </c>
      <c r="C164" t="s">
        <v>360</v>
      </c>
      <c r="D164" t="s">
        <v>183</v>
      </c>
      <c r="E164" t="s">
        <v>67</v>
      </c>
      <c r="F164" t="s">
        <v>142</v>
      </c>
      <c r="G164" s="12">
        <v>180</v>
      </c>
      <c r="H164" s="14">
        <f t="shared" si="4"/>
        <v>126</v>
      </c>
      <c r="I164" s="8">
        <f t="shared" si="5"/>
        <v>162</v>
      </c>
    </row>
    <row r="165" spans="1:9" x14ac:dyDescent="0.35">
      <c r="A165" t="s">
        <v>354</v>
      </c>
      <c r="B165" t="s">
        <v>361</v>
      </c>
      <c r="C165" t="s">
        <v>362</v>
      </c>
      <c r="D165" t="s">
        <v>183</v>
      </c>
      <c r="E165" t="s">
        <v>67</v>
      </c>
      <c r="F165" t="s">
        <v>373</v>
      </c>
      <c r="G165" s="12">
        <v>720</v>
      </c>
      <c r="H165" s="14">
        <f t="shared" si="4"/>
        <v>504</v>
      </c>
      <c r="I165" s="8">
        <f t="shared" si="5"/>
        <v>648</v>
      </c>
    </row>
    <row r="166" spans="1:9" x14ac:dyDescent="0.35">
      <c r="A166" t="s">
        <v>354</v>
      </c>
      <c r="B166" t="s">
        <v>363</v>
      </c>
      <c r="C166" t="s">
        <v>364</v>
      </c>
      <c r="D166" t="s">
        <v>138</v>
      </c>
      <c r="E166" t="s">
        <v>67</v>
      </c>
      <c r="F166" t="s">
        <v>374</v>
      </c>
      <c r="G166" s="12">
        <v>1080</v>
      </c>
      <c r="H166" s="14">
        <f t="shared" si="4"/>
        <v>756</v>
      </c>
      <c r="I166" s="8">
        <f t="shared" si="5"/>
        <v>972</v>
      </c>
    </row>
    <row r="167" spans="1:9" x14ac:dyDescent="0.35">
      <c r="A167" t="s">
        <v>354</v>
      </c>
      <c r="B167" t="s">
        <v>365</v>
      </c>
      <c r="C167" t="s">
        <v>366</v>
      </c>
      <c r="D167" t="s">
        <v>183</v>
      </c>
      <c r="E167" t="s">
        <v>36</v>
      </c>
      <c r="F167" t="s">
        <v>142</v>
      </c>
      <c r="G167" s="12">
        <v>180</v>
      </c>
      <c r="H167" s="14">
        <f t="shared" si="4"/>
        <v>126</v>
      </c>
      <c r="I167" s="8">
        <f t="shared" si="5"/>
        <v>162</v>
      </c>
    </row>
    <row r="168" spans="1:9" x14ac:dyDescent="0.35">
      <c r="A168" t="s">
        <v>354</v>
      </c>
      <c r="B168" t="s">
        <v>367</v>
      </c>
      <c r="C168" t="s">
        <v>368</v>
      </c>
      <c r="D168" t="s">
        <v>138</v>
      </c>
      <c r="E168" t="s">
        <v>67</v>
      </c>
      <c r="F168" t="s">
        <v>373</v>
      </c>
      <c r="G168" s="12">
        <v>720</v>
      </c>
      <c r="H168" s="14">
        <f t="shared" si="4"/>
        <v>504</v>
      </c>
      <c r="I168" s="8">
        <f t="shared" si="5"/>
        <v>648</v>
      </c>
    </row>
    <row r="169" spans="1:9" x14ac:dyDescent="0.35">
      <c r="A169" t="s">
        <v>354</v>
      </c>
      <c r="B169" t="s">
        <v>369</v>
      </c>
      <c r="C169" t="s">
        <v>370</v>
      </c>
      <c r="D169" t="s">
        <v>183</v>
      </c>
      <c r="E169" t="s">
        <v>67</v>
      </c>
      <c r="F169" t="s">
        <v>245</v>
      </c>
      <c r="H169" s="14"/>
    </row>
    <row r="170" spans="1:9" x14ac:dyDescent="0.35">
      <c r="A170" t="s">
        <v>375</v>
      </c>
      <c r="B170" t="s">
        <v>376</v>
      </c>
      <c r="C170" t="s">
        <v>377</v>
      </c>
      <c r="D170" t="s">
        <v>50</v>
      </c>
      <c r="E170" t="s">
        <v>36</v>
      </c>
      <c r="F170" t="s">
        <v>273</v>
      </c>
      <c r="G170" s="12">
        <v>30</v>
      </c>
      <c r="H170" s="14">
        <f t="shared" si="4"/>
        <v>21</v>
      </c>
      <c r="I170" s="8">
        <f t="shared" si="5"/>
        <v>27</v>
      </c>
    </row>
    <row r="171" spans="1:9" x14ac:dyDescent="0.35">
      <c r="A171" t="s">
        <v>375</v>
      </c>
      <c r="B171" t="s">
        <v>378</v>
      </c>
      <c r="C171" t="s">
        <v>379</v>
      </c>
      <c r="D171" t="s">
        <v>50</v>
      </c>
      <c r="E171" t="s">
        <v>36</v>
      </c>
      <c r="F171" t="s">
        <v>145</v>
      </c>
      <c r="G171" s="12">
        <v>30</v>
      </c>
      <c r="H171" s="14">
        <f t="shared" si="4"/>
        <v>21</v>
      </c>
      <c r="I171" s="8">
        <f t="shared" si="5"/>
        <v>27</v>
      </c>
    </row>
    <row r="172" spans="1:9" x14ac:dyDescent="0.35">
      <c r="A172" t="s">
        <v>375</v>
      </c>
      <c r="B172" t="s">
        <v>380</v>
      </c>
      <c r="C172" t="s">
        <v>381</v>
      </c>
      <c r="D172" t="s">
        <v>50</v>
      </c>
      <c r="E172" t="s">
        <v>36</v>
      </c>
      <c r="F172" t="s">
        <v>145</v>
      </c>
      <c r="G172" s="12">
        <v>30</v>
      </c>
      <c r="H172" s="14">
        <f t="shared" si="4"/>
        <v>21</v>
      </c>
      <c r="I172" s="8">
        <f t="shared" si="5"/>
        <v>27</v>
      </c>
    </row>
    <row r="173" spans="1:9" x14ac:dyDescent="0.35">
      <c r="A173" t="s">
        <v>375</v>
      </c>
      <c r="B173" t="s">
        <v>382</v>
      </c>
      <c r="C173" t="s">
        <v>381</v>
      </c>
      <c r="D173" t="s">
        <v>50</v>
      </c>
      <c r="E173" t="s">
        <v>36</v>
      </c>
      <c r="F173" t="s">
        <v>273</v>
      </c>
      <c r="G173" s="12">
        <v>30</v>
      </c>
      <c r="H173" s="14">
        <f t="shared" si="4"/>
        <v>21</v>
      </c>
      <c r="I173" s="8">
        <f t="shared" si="5"/>
        <v>27</v>
      </c>
    </row>
    <row r="174" spans="1:9" x14ac:dyDescent="0.35">
      <c r="A174" t="s">
        <v>375</v>
      </c>
      <c r="B174" t="s">
        <v>383</v>
      </c>
      <c r="C174" t="s">
        <v>384</v>
      </c>
      <c r="D174" t="s">
        <v>50</v>
      </c>
      <c r="E174" t="s">
        <v>36</v>
      </c>
      <c r="F174" t="s">
        <v>145</v>
      </c>
      <c r="G174" s="12">
        <v>30</v>
      </c>
      <c r="H174" s="14">
        <f t="shared" si="4"/>
        <v>21</v>
      </c>
      <c r="I174" s="8">
        <f t="shared" si="5"/>
        <v>27</v>
      </c>
    </row>
    <row r="175" spans="1:9" x14ac:dyDescent="0.35">
      <c r="A175" t="s">
        <v>375</v>
      </c>
      <c r="B175" t="s">
        <v>385</v>
      </c>
      <c r="C175" t="s">
        <v>386</v>
      </c>
      <c r="D175" t="s">
        <v>50</v>
      </c>
      <c r="E175" t="s">
        <v>67</v>
      </c>
      <c r="F175" t="s">
        <v>390</v>
      </c>
      <c r="H175" s="14"/>
    </row>
    <row r="176" spans="1:9" x14ac:dyDescent="0.35">
      <c r="A176" t="s">
        <v>375</v>
      </c>
      <c r="B176" t="s">
        <v>387</v>
      </c>
      <c r="C176" t="s">
        <v>203</v>
      </c>
      <c r="D176" t="s">
        <v>50</v>
      </c>
      <c r="E176" t="s">
        <v>67</v>
      </c>
      <c r="F176" t="s">
        <v>38</v>
      </c>
      <c r="G176" s="12">
        <v>60</v>
      </c>
      <c r="H176" s="14">
        <f t="shared" si="4"/>
        <v>42</v>
      </c>
      <c r="I176" s="8">
        <f t="shared" si="5"/>
        <v>54</v>
      </c>
    </row>
    <row r="177" spans="1:9" x14ac:dyDescent="0.35">
      <c r="A177" t="s">
        <v>375</v>
      </c>
      <c r="B177" t="s">
        <v>388</v>
      </c>
      <c r="C177" t="s">
        <v>389</v>
      </c>
      <c r="D177" t="s">
        <v>50</v>
      </c>
      <c r="E177" t="s">
        <v>36</v>
      </c>
      <c r="F177" t="s">
        <v>353</v>
      </c>
      <c r="G177" s="12">
        <v>7</v>
      </c>
      <c r="H177" s="14">
        <f t="shared" si="4"/>
        <v>5</v>
      </c>
      <c r="I177" s="8">
        <f t="shared" si="5"/>
        <v>6</v>
      </c>
    </row>
    <row r="178" spans="1:9" x14ac:dyDescent="0.35">
      <c r="A178" t="s">
        <v>391</v>
      </c>
      <c r="B178" t="s">
        <v>392</v>
      </c>
      <c r="C178" t="s">
        <v>393</v>
      </c>
      <c r="D178" t="s">
        <v>419</v>
      </c>
      <c r="E178" t="s">
        <v>36</v>
      </c>
      <c r="F178" t="s">
        <v>145</v>
      </c>
      <c r="G178" s="12">
        <v>30</v>
      </c>
      <c r="H178" s="14">
        <f t="shared" si="4"/>
        <v>21</v>
      </c>
      <c r="I178" s="8">
        <f t="shared" si="5"/>
        <v>27</v>
      </c>
    </row>
    <row r="179" spans="1:9" x14ac:dyDescent="0.35">
      <c r="A179" t="s">
        <v>391</v>
      </c>
      <c r="B179" t="s">
        <v>394</v>
      </c>
      <c r="C179" t="s">
        <v>395</v>
      </c>
      <c r="D179" t="s">
        <v>419</v>
      </c>
      <c r="E179" t="s">
        <v>36</v>
      </c>
      <c r="F179" t="s">
        <v>145</v>
      </c>
      <c r="G179" s="12">
        <v>30</v>
      </c>
      <c r="H179" s="14">
        <f t="shared" si="4"/>
        <v>21</v>
      </c>
      <c r="I179" s="8">
        <f t="shared" si="5"/>
        <v>27</v>
      </c>
    </row>
    <row r="180" spans="1:9" x14ac:dyDescent="0.35">
      <c r="A180" t="s">
        <v>391</v>
      </c>
      <c r="B180" t="s">
        <v>396</v>
      </c>
      <c r="C180" t="s">
        <v>397</v>
      </c>
      <c r="D180" t="s">
        <v>420</v>
      </c>
      <c r="E180" t="s">
        <v>146</v>
      </c>
      <c r="F180" t="s">
        <v>37</v>
      </c>
      <c r="G180" s="12">
        <v>90</v>
      </c>
      <c r="H180" s="14">
        <f t="shared" si="4"/>
        <v>63</v>
      </c>
      <c r="I180" s="8">
        <f t="shared" si="5"/>
        <v>81</v>
      </c>
    </row>
    <row r="181" spans="1:9" x14ac:dyDescent="0.35">
      <c r="A181" t="s">
        <v>391</v>
      </c>
      <c r="B181" t="s">
        <v>398</v>
      </c>
      <c r="C181" t="s">
        <v>399</v>
      </c>
      <c r="D181" t="s">
        <v>420</v>
      </c>
      <c r="E181" t="s">
        <v>36</v>
      </c>
      <c r="F181" t="s">
        <v>145</v>
      </c>
      <c r="G181" s="12">
        <v>30</v>
      </c>
      <c r="H181" s="14">
        <f t="shared" si="4"/>
        <v>21</v>
      </c>
      <c r="I181" s="8">
        <f t="shared" si="5"/>
        <v>27</v>
      </c>
    </row>
    <row r="182" spans="1:9" x14ac:dyDescent="0.35">
      <c r="A182" t="s">
        <v>391</v>
      </c>
      <c r="B182" t="s">
        <v>400</v>
      </c>
      <c r="C182" t="s">
        <v>401</v>
      </c>
      <c r="D182" t="s">
        <v>420</v>
      </c>
      <c r="E182" t="s">
        <v>36</v>
      </c>
      <c r="F182" t="s">
        <v>37</v>
      </c>
      <c r="G182" s="12">
        <v>90</v>
      </c>
      <c r="H182" s="14">
        <f t="shared" si="4"/>
        <v>63</v>
      </c>
      <c r="I182" s="8">
        <f t="shared" si="5"/>
        <v>81</v>
      </c>
    </row>
    <row r="183" spans="1:9" x14ac:dyDescent="0.35">
      <c r="A183" t="s">
        <v>391</v>
      </c>
      <c r="B183" t="s">
        <v>402</v>
      </c>
      <c r="C183" t="s">
        <v>403</v>
      </c>
      <c r="D183" t="s">
        <v>420</v>
      </c>
      <c r="E183" t="s">
        <v>36</v>
      </c>
      <c r="F183" t="s">
        <v>145</v>
      </c>
      <c r="G183" s="12">
        <v>30</v>
      </c>
      <c r="H183" s="14">
        <f t="shared" si="4"/>
        <v>21</v>
      </c>
      <c r="I183" s="8">
        <f t="shared" si="5"/>
        <v>27</v>
      </c>
    </row>
    <row r="184" spans="1:9" x14ac:dyDescent="0.35">
      <c r="A184" t="s">
        <v>391</v>
      </c>
      <c r="B184" t="s">
        <v>404</v>
      </c>
      <c r="C184" t="s">
        <v>405</v>
      </c>
      <c r="D184" t="s">
        <v>419</v>
      </c>
      <c r="E184" t="s">
        <v>36</v>
      </c>
      <c r="F184" t="s">
        <v>145</v>
      </c>
      <c r="G184" s="12">
        <v>30</v>
      </c>
      <c r="H184" s="14">
        <f t="shared" si="4"/>
        <v>21</v>
      </c>
      <c r="I184" s="8">
        <f t="shared" si="5"/>
        <v>27</v>
      </c>
    </row>
    <row r="185" spans="1:9" x14ac:dyDescent="0.35">
      <c r="A185" t="s">
        <v>391</v>
      </c>
      <c r="B185" t="s">
        <v>406</v>
      </c>
      <c r="C185" t="s">
        <v>194</v>
      </c>
      <c r="D185" t="s">
        <v>240</v>
      </c>
      <c r="E185" t="s">
        <v>36</v>
      </c>
      <c r="F185" t="s">
        <v>145</v>
      </c>
      <c r="G185" s="12">
        <v>30</v>
      </c>
      <c r="H185" s="14">
        <f t="shared" si="4"/>
        <v>21</v>
      </c>
      <c r="I185" s="8">
        <f t="shared" si="5"/>
        <v>27</v>
      </c>
    </row>
    <row r="186" spans="1:9" x14ac:dyDescent="0.35">
      <c r="A186" t="s">
        <v>391</v>
      </c>
      <c r="B186" t="s">
        <v>407</v>
      </c>
      <c r="C186" t="s">
        <v>408</v>
      </c>
      <c r="D186" t="s">
        <v>240</v>
      </c>
      <c r="E186" t="s">
        <v>36</v>
      </c>
      <c r="F186" t="s">
        <v>37</v>
      </c>
      <c r="G186" s="12">
        <v>90</v>
      </c>
      <c r="H186" s="14">
        <f t="shared" si="4"/>
        <v>63</v>
      </c>
      <c r="I186" s="8">
        <f t="shared" si="5"/>
        <v>81</v>
      </c>
    </row>
    <row r="187" spans="1:9" x14ac:dyDescent="0.35">
      <c r="A187" t="s">
        <v>391</v>
      </c>
      <c r="B187" t="s">
        <v>409</v>
      </c>
      <c r="C187" t="s">
        <v>410</v>
      </c>
      <c r="D187" t="s">
        <v>420</v>
      </c>
      <c r="E187" t="s">
        <v>146</v>
      </c>
      <c r="F187" t="s">
        <v>142</v>
      </c>
      <c r="G187" s="12">
        <v>180</v>
      </c>
      <c r="H187" s="14">
        <f t="shared" si="4"/>
        <v>126</v>
      </c>
      <c r="I187" s="8">
        <f t="shared" si="5"/>
        <v>162</v>
      </c>
    </row>
    <row r="188" spans="1:9" x14ac:dyDescent="0.35">
      <c r="A188" t="s">
        <v>391</v>
      </c>
      <c r="B188" t="s">
        <v>411</v>
      </c>
      <c r="C188" t="s">
        <v>412</v>
      </c>
      <c r="D188" t="s">
        <v>420</v>
      </c>
      <c r="E188" t="s">
        <v>146</v>
      </c>
      <c r="F188" t="s">
        <v>37</v>
      </c>
      <c r="G188" s="12">
        <v>90</v>
      </c>
      <c r="H188" s="14">
        <f t="shared" si="4"/>
        <v>63</v>
      </c>
      <c r="I188" s="8">
        <f t="shared" si="5"/>
        <v>81</v>
      </c>
    </row>
    <row r="189" spans="1:9" x14ac:dyDescent="0.35">
      <c r="A189" t="s">
        <v>391</v>
      </c>
      <c r="B189" t="s">
        <v>413</v>
      </c>
      <c r="C189" t="s">
        <v>414</v>
      </c>
      <c r="D189" t="s">
        <v>420</v>
      </c>
      <c r="E189" t="s">
        <v>146</v>
      </c>
      <c r="F189" t="s">
        <v>37</v>
      </c>
      <c r="G189" s="12">
        <v>90</v>
      </c>
      <c r="H189" s="14">
        <f t="shared" si="4"/>
        <v>63</v>
      </c>
      <c r="I189" s="8">
        <f t="shared" si="5"/>
        <v>81</v>
      </c>
    </row>
    <row r="190" spans="1:9" x14ac:dyDescent="0.35">
      <c r="A190" t="s">
        <v>391</v>
      </c>
      <c r="B190" t="s">
        <v>415</v>
      </c>
      <c r="C190" t="s">
        <v>416</v>
      </c>
      <c r="D190" t="s">
        <v>420</v>
      </c>
      <c r="E190" t="s">
        <v>146</v>
      </c>
      <c r="F190" t="s">
        <v>37</v>
      </c>
      <c r="G190" s="12">
        <v>90</v>
      </c>
      <c r="H190" s="14">
        <f t="shared" si="4"/>
        <v>63</v>
      </c>
      <c r="I190" s="8">
        <f t="shared" si="5"/>
        <v>81</v>
      </c>
    </row>
    <row r="191" spans="1:9" x14ac:dyDescent="0.35">
      <c r="A191" t="s">
        <v>391</v>
      </c>
      <c r="B191" t="s">
        <v>417</v>
      </c>
      <c r="C191" t="s">
        <v>418</v>
      </c>
      <c r="D191" t="s">
        <v>420</v>
      </c>
      <c r="E191" t="s">
        <v>146</v>
      </c>
      <c r="F191" t="s">
        <v>37</v>
      </c>
      <c r="G191" s="12">
        <v>90</v>
      </c>
      <c r="H191" s="14">
        <f t="shared" si="4"/>
        <v>63</v>
      </c>
      <c r="I191" s="8">
        <f t="shared" si="5"/>
        <v>81</v>
      </c>
    </row>
    <row r="192" spans="1:9" x14ac:dyDescent="0.35">
      <c r="A192" t="s">
        <v>49</v>
      </c>
      <c r="B192" t="s">
        <v>52</v>
      </c>
      <c r="C192" t="s">
        <v>53</v>
      </c>
      <c r="D192" t="s">
        <v>51</v>
      </c>
      <c r="E192" t="s">
        <v>67</v>
      </c>
      <c r="F192" t="s">
        <v>68</v>
      </c>
      <c r="G192" s="12">
        <v>60</v>
      </c>
      <c r="H192" s="14">
        <f t="shared" si="4"/>
        <v>42</v>
      </c>
      <c r="I192" s="8">
        <f t="shared" si="5"/>
        <v>54</v>
      </c>
    </row>
    <row r="193" spans="1:9" x14ac:dyDescent="0.35">
      <c r="A193" t="s">
        <v>49</v>
      </c>
      <c r="B193" t="s">
        <v>54</v>
      </c>
      <c r="C193" t="s">
        <v>55</v>
      </c>
      <c r="D193" t="s">
        <v>51</v>
      </c>
      <c r="E193" t="s">
        <v>67</v>
      </c>
      <c r="F193" t="s">
        <v>69</v>
      </c>
      <c r="G193" s="12">
        <v>120</v>
      </c>
      <c r="H193" s="14">
        <f t="shared" si="4"/>
        <v>84</v>
      </c>
      <c r="I193" s="8">
        <f t="shared" si="5"/>
        <v>108</v>
      </c>
    </row>
    <row r="194" spans="1:9" x14ac:dyDescent="0.35">
      <c r="A194" t="s">
        <v>49</v>
      </c>
      <c r="B194" t="s">
        <v>56</v>
      </c>
      <c r="C194" t="s">
        <v>57</v>
      </c>
      <c r="D194" t="s">
        <v>51</v>
      </c>
      <c r="E194" t="s">
        <v>67</v>
      </c>
      <c r="F194" t="s">
        <v>70</v>
      </c>
      <c r="G194" s="12">
        <v>105</v>
      </c>
      <c r="H194" s="14">
        <f t="shared" si="4"/>
        <v>74</v>
      </c>
      <c r="I194" s="8">
        <f t="shared" si="5"/>
        <v>95</v>
      </c>
    </row>
    <row r="195" spans="1:9" x14ac:dyDescent="0.35">
      <c r="A195" t="s">
        <v>49</v>
      </c>
      <c r="B195" t="s">
        <v>58</v>
      </c>
      <c r="C195" t="s">
        <v>59</v>
      </c>
      <c r="D195" t="s">
        <v>51</v>
      </c>
      <c r="E195" t="s">
        <v>67</v>
      </c>
      <c r="F195" t="s">
        <v>71</v>
      </c>
      <c r="G195" s="12">
        <v>15</v>
      </c>
      <c r="H195" s="14">
        <f t="shared" si="4"/>
        <v>11</v>
      </c>
      <c r="I195" s="8">
        <f t="shared" si="5"/>
        <v>14</v>
      </c>
    </row>
    <row r="196" spans="1:9" x14ac:dyDescent="0.35">
      <c r="A196" t="s">
        <v>49</v>
      </c>
      <c r="B196" t="s">
        <v>60</v>
      </c>
      <c r="C196" t="s">
        <v>61</v>
      </c>
      <c r="D196" t="s">
        <v>51</v>
      </c>
      <c r="E196" t="s">
        <v>67</v>
      </c>
      <c r="F196" t="s">
        <v>72</v>
      </c>
      <c r="G196" s="12">
        <v>30</v>
      </c>
      <c r="H196" s="14">
        <f t="shared" si="4"/>
        <v>21</v>
      </c>
      <c r="I196" s="8">
        <f t="shared" si="5"/>
        <v>27</v>
      </c>
    </row>
    <row r="197" spans="1:9" x14ac:dyDescent="0.35">
      <c r="A197" t="s">
        <v>49</v>
      </c>
      <c r="B197" t="s">
        <v>62</v>
      </c>
      <c r="C197" t="s">
        <v>63</v>
      </c>
      <c r="D197" t="s">
        <v>51</v>
      </c>
      <c r="E197" t="s">
        <v>67</v>
      </c>
      <c r="F197" t="s">
        <v>245</v>
      </c>
      <c r="H197" s="14"/>
    </row>
    <row r="198" spans="1:9" x14ac:dyDescent="0.35">
      <c r="A198" t="s">
        <v>49</v>
      </c>
      <c r="B198" t="s">
        <v>64</v>
      </c>
      <c r="C198" t="s">
        <v>65</v>
      </c>
      <c r="D198" t="s">
        <v>51</v>
      </c>
      <c r="E198" t="s">
        <v>67</v>
      </c>
      <c r="F198" t="s">
        <v>72</v>
      </c>
      <c r="G198" s="12">
        <v>30</v>
      </c>
      <c r="H198" s="14">
        <f t="shared" si="4"/>
        <v>21</v>
      </c>
      <c r="I198" s="8">
        <f t="shared" si="5"/>
        <v>27</v>
      </c>
    </row>
    <row r="199" spans="1:9" x14ac:dyDescent="0.35">
      <c r="A199" t="s">
        <v>74</v>
      </c>
      <c r="B199" t="s">
        <v>75</v>
      </c>
      <c r="C199" t="s">
        <v>76</v>
      </c>
      <c r="D199" t="s">
        <v>51</v>
      </c>
      <c r="E199" t="s">
        <v>67</v>
      </c>
      <c r="F199" t="s">
        <v>104</v>
      </c>
      <c r="G199" s="12">
        <v>45</v>
      </c>
      <c r="H199" s="14">
        <f t="shared" si="4"/>
        <v>32</v>
      </c>
      <c r="I199" s="8">
        <f t="shared" si="5"/>
        <v>41</v>
      </c>
    </row>
    <row r="200" spans="1:9" x14ac:dyDescent="0.35">
      <c r="A200" t="s">
        <v>74</v>
      </c>
      <c r="B200" t="s">
        <v>77</v>
      </c>
      <c r="C200" t="s">
        <v>78</v>
      </c>
      <c r="D200" t="s">
        <v>51</v>
      </c>
      <c r="E200" t="s">
        <v>146</v>
      </c>
      <c r="F200" t="s">
        <v>68</v>
      </c>
      <c r="G200" s="12">
        <v>60</v>
      </c>
      <c r="H200" s="14">
        <f t="shared" si="4"/>
        <v>42</v>
      </c>
      <c r="I200" s="8">
        <f t="shared" si="5"/>
        <v>54</v>
      </c>
    </row>
    <row r="201" spans="1:9" x14ac:dyDescent="0.35">
      <c r="A201" t="s">
        <v>74</v>
      </c>
      <c r="B201" t="s">
        <v>79</v>
      </c>
      <c r="C201" t="s">
        <v>78</v>
      </c>
      <c r="D201" t="s">
        <v>51</v>
      </c>
      <c r="E201" t="s">
        <v>67</v>
      </c>
      <c r="F201" t="s">
        <v>105</v>
      </c>
      <c r="G201" s="12">
        <v>75</v>
      </c>
      <c r="H201" s="14">
        <f t="shared" si="4"/>
        <v>53</v>
      </c>
      <c r="I201" s="8">
        <f t="shared" si="5"/>
        <v>68</v>
      </c>
    </row>
    <row r="202" spans="1:9" x14ac:dyDescent="0.35">
      <c r="A202" t="s">
        <v>74</v>
      </c>
      <c r="B202" t="s">
        <v>80</v>
      </c>
      <c r="C202" t="s">
        <v>81</v>
      </c>
      <c r="D202" t="s">
        <v>51</v>
      </c>
      <c r="E202" t="s">
        <v>146</v>
      </c>
      <c r="F202" t="s">
        <v>68</v>
      </c>
      <c r="G202" s="12">
        <v>60</v>
      </c>
      <c r="H202" s="14">
        <f t="shared" si="4"/>
        <v>42</v>
      </c>
      <c r="I202" s="8">
        <f t="shared" si="5"/>
        <v>54</v>
      </c>
    </row>
    <row r="203" spans="1:9" x14ac:dyDescent="0.35">
      <c r="A203" t="s">
        <v>74</v>
      </c>
      <c r="B203" t="s">
        <v>82</v>
      </c>
      <c r="C203" t="s">
        <v>83</v>
      </c>
      <c r="D203" t="s">
        <v>51</v>
      </c>
      <c r="E203" t="s">
        <v>67</v>
      </c>
      <c r="F203" t="s">
        <v>71</v>
      </c>
      <c r="G203" s="12">
        <v>15</v>
      </c>
      <c r="H203" s="14">
        <f t="shared" si="4"/>
        <v>11</v>
      </c>
      <c r="I203" s="8">
        <f t="shared" si="5"/>
        <v>14</v>
      </c>
    </row>
    <row r="204" spans="1:9" x14ac:dyDescent="0.35">
      <c r="A204" t="s">
        <v>74</v>
      </c>
      <c r="B204" t="s">
        <v>84</v>
      </c>
      <c r="C204" t="s">
        <v>85</v>
      </c>
      <c r="D204" t="s">
        <v>51</v>
      </c>
      <c r="E204" t="s">
        <v>146</v>
      </c>
      <c r="F204" t="s">
        <v>104</v>
      </c>
      <c r="G204" s="12">
        <v>45</v>
      </c>
      <c r="H204" s="14">
        <f t="shared" si="4"/>
        <v>32</v>
      </c>
      <c r="I204" s="8">
        <f t="shared" si="5"/>
        <v>41</v>
      </c>
    </row>
    <row r="205" spans="1:9" x14ac:dyDescent="0.35">
      <c r="A205" t="s">
        <v>74</v>
      </c>
      <c r="B205" t="s">
        <v>86</v>
      </c>
      <c r="C205" t="s">
        <v>87</v>
      </c>
      <c r="D205" t="s">
        <v>51</v>
      </c>
      <c r="E205" t="s">
        <v>146</v>
      </c>
      <c r="F205" t="s">
        <v>72</v>
      </c>
      <c r="G205" s="12">
        <v>30</v>
      </c>
      <c r="H205" s="14">
        <f t="shared" si="4"/>
        <v>21</v>
      </c>
      <c r="I205" s="8">
        <f t="shared" si="5"/>
        <v>27</v>
      </c>
    </row>
    <row r="206" spans="1:9" x14ac:dyDescent="0.35">
      <c r="A206" t="s">
        <v>74</v>
      </c>
      <c r="B206" t="s">
        <v>88</v>
      </c>
      <c r="C206" t="s">
        <v>87</v>
      </c>
      <c r="D206" t="s">
        <v>51</v>
      </c>
      <c r="E206" t="s">
        <v>146</v>
      </c>
      <c r="F206" t="s">
        <v>72</v>
      </c>
      <c r="G206" s="12">
        <v>30</v>
      </c>
      <c r="H206" s="14">
        <f t="shared" ref="H206:H269" si="6">ROUND(0.7*G206,0)</f>
        <v>21</v>
      </c>
      <c r="I206" s="8">
        <f t="shared" ref="I206:I269" si="7">ROUND(0.9*G206,0)</f>
        <v>27</v>
      </c>
    </row>
    <row r="207" spans="1:9" x14ac:dyDescent="0.35">
      <c r="A207" t="s">
        <v>74</v>
      </c>
      <c r="B207" t="s">
        <v>89</v>
      </c>
      <c r="C207" t="s">
        <v>90</v>
      </c>
      <c r="D207" t="s">
        <v>51</v>
      </c>
      <c r="E207" t="s">
        <v>146</v>
      </c>
      <c r="F207" t="s">
        <v>245</v>
      </c>
      <c r="H207" s="14"/>
    </row>
    <row r="208" spans="1:9" x14ac:dyDescent="0.35">
      <c r="A208" t="s">
        <v>74</v>
      </c>
      <c r="B208" t="s">
        <v>91</v>
      </c>
      <c r="C208" t="s">
        <v>92</v>
      </c>
      <c r="D208" t="s">
        <v>51</v>
      </c>
      <c r="E208" t="s">
        <v>67</v>
      </c>
      <c r="F208" t="s">
        <v>106</v>
      </c>
      <c r="G208" s="12">
        <v>7</v>
      </c>
      <c r="H208" s="14">
        <f t="shared" si="6"/>
        <v>5</v>
      </c>
      <c r="I208" s="8">
        <f t="shared" si="7"/>
        <v>6</v>
      </c>
    </row>
    <row r="209" spans="1:9" x14ac:dyDescent="0.35">
      <c r="A209" t="s">
        <v>74</v>
      </c>
      <c r="B209" t="s">
        <v>93</v>
      </c>
      <c r="C209" t="s">
        <v>94</v>
      </c>
      <c r="D209" t="s">
        <v>51</v>
      </c>
      <c r="E209" t="s">
        <v>146</v>
      </c>
      <c r="F209" t="s">
        <v>107</v>
      </c>
      <c r="G209" s="12">
        <v>23</v>
      </c>
      <c r="H209" s="14">
        <f t="shared" si="6"/>
        <v>16</v>
      </c>
      <c r="I209" s="8">
        <f t="shared" si="7"/>
        <v>21</v>
      </c>
    </row>
    <row r="210" spans="1:9" x14ac:dyDescent="0.35">
      <c r="A210" t="s">
        <v>74</v>
      </c>
      <c r="B210" t="s">
        <v>95</v>
      </c>
      <c r="C210" t="s">
        <v>96</v>
      </c>
      <c r="D210" t="s">
        <v>51</v>
      </c>
      <c r="E210" t="s">
        <v>146</v>
      </c>
      <c r="F210" t="s">
        <v>245</v>
      </c>
      <c r="H210" s="14"/>
    </row>
    <row r="211" spans="1:9" x14ac:dyDescent="0.35">
      <c r="A211" t="s">
        <v>74</v>
      </c>
      <c r="B211" t="s">
        <v>97</v>
      </c>
      <c r="C211" t="s">
        <v>98</v>
      </c>
      <c r="D211" t="s">
        <v>51</v>
      </c>
      <c r="E211" t="s">
        <v>146</v>
      </c>
      <c r="F211" t="s">
        <v>245</v>
      </c>
      <c r="H211" s="14"/>
    </row>
    <row r="212" spans="1:9" x14ac:dyDescent="0.35">
      <c r="A212" t="s">
        <v>74</v>
      </c>
      <c r="B212" t="s">
        <v>99</v>
      </c>
      <c r="C212" t="s">
        <v>100</v>
      </c>
      <c r="D212" t="s">
        <v>51</v>
      </c>
      <c r="E212" t="s">
        <v>146</v>
      </c>
      <c r="F212" t="s">
        <v>107</v>
      </c>
      <c r="G212" s="12">
        <v>23</v>
      </c>
      <c r="H212" s="14">
        <f t="shared" si="6"/>
        <v>16</v>
      </c>
      <c r="I212" s="8">
        <f t="shared" si="7"/>
        <v>21</v>
      </c>
    </row>
    <row r="213" spans="1:9" x14ac:dyDescent="0.35">
      <c r="A213" t="s">
        <v>74</v>
      </c>
      <c r="B213" t="s">
        <v>101</v>
      </c>
      <c r="C213" t="s">
        <v>102</v>
      </c>
      <c r="D213" t="s">
        <v>51</v>
      </c>
      <c r="E213" t="s">
        <v>67</v>
      </c>
      <c r="F213" t="s">
        <v>246</v>
      </c>
      <c r="G213" s="12">
        <v>7</v>
      </c>
      <c r="H213" s="14">
        <f t="shared" si="6"/>
        <v>5</v>
      </c>
      <c r="I213" s="8">
        <f t="shared" si="7"/>
        <v>6</v>
      </c>
    </row>
    <row r="214" spans="1:9" x14ac:dyDescent="0.35">
      <c r="A214" t="s">
        <v>422</v>
      </c>
      <c r="B214" t="s">
        <v>423</v>
      </c>
      <c r="C214" t="s">
        <v>5</v>
      </c>
      <c r="D214" t="s">
        <v>50</v>
      </c>
      <c r="E214" t="s">
        <v>36</v>
      </c>
      <c r="F214" t="s">
        <v>429</v>
      </c>
      <c r="G214" s="12">
        <v>45</v>
      </c>
      <c r="H214" s="14">
        <f t="shared" si="6"/>
        <v>32</v>
      </c>
      <c r="I214" s="8">
        <f t="shared" si="7"/>
        <v>41</v>
      </c>
    </row>
    <row r="215" spans="1:9" x14ac:dyDescent="0.35">
      <c r="A215" t="s">
        <v>422</v>
      </c>
      <c r="B215" t="s">
        <v>424</v>
      </c>
      <c r="C215" t="s">
        <v>5</v>
      </c>
      <c r="D215" t="s">
        <v>51</v>
      </c>
      <c r="E215" t="s">
        <v>36</v>
      </c>
      <c r="F215" t="s">
        <v>429</v>
      </c>
      <c r="G215" s="12">
        <v>45</v>
      </c>
      <c r="H215" s="14">
        <f t="shared" si="6"/>
        <v>32</v>
      </c>
      <c r="I215" s="8">
        <f t="shared" si="7"/>
        <v>41</v>
      </c>
    </row>
    <row r="216" spans="1:9" x14ac:dyDescent="0.35">
      <c r="A216" t="s">
        <v>422</v>
      </c>
      <c r="B216" t="s">
        <v>425</v>
      </c>
      <c r="C216" t="s">
        <v>212</v>
      </c>
      <c r="D216" t="s">
        <v>51</v>
      </c>
      <c r="E216" t="s">
        <v>36</v>
      </c>
      <c r="F216" t="s">
        <v>339</v>
      </c>
      <c r="G216" s="12">
        <v>180</v>
      </c>
      <c r="H216" s="14">
        <f t="shared" si="6"/>
        <v>126</v>
      </c>
      <c r="I216" s="8">
        <f t="shared" si="7"/>
        <v>162</v>
      </c>
    </row>
    <row r="217" spans="1:9" x14ac:dyDescent="0.35">
      <c r="A217" t="s">
        <v>422</v>
      </c>
      <c r="B217" t="s">
        <v>426</v>
      </c>
      <c r="C217" t="s">
        <v>427</v>
      </c>
      <c r="D217" t="s">
        <v>50</v>
      </c>
      <c r="E217" t="s">
        <v>36</v>
      </c>
      <c r="F217" t="s">
        <v>241</v>
      </c>
      <c r="G217" s="12">
        <v>60</v>
      </c>
      <c r="H217" s="14">
        <f t="shared" si="6"/>
        <v>42</v>
      </c>
      <c r="I217" s="8">
        <f t="shared" si="7"/>
        <v>54</v>
      </c>
    </row>
    <row r="218" spans="1:9" x14ac:dyDescent="0.35">
      <c r="A218" t="s">
        <v>422</v>
      </c>
      <c r="B218" t="s">
        <v>428</v>
      </c>
      <c r="C218" t="s">
        <v>325</v>
      </c>
      <c r="D218" t="s">
        <v>50</v>
      </c>
      <c r="E218" t="s">
        <v>36</v>
      </c>
      <c r="F218" t="s">
        <v>242</v>
      </c>
      <c r="G218" s="12">
        <v>90</v>
      </c>
      <c r="H218" s="14">
        <f t="shared" si="6"/>
        <v>63</v>
      </c>
      <c r="I218" s="8">
        <f t="shared" si="7"/>
        <v>81</v>
      </c>
    </row>
    <row r="219" spans="1:9" x14ac:dyDescent="0.35">
      <c r="A219" t="s">
        <v>430</v>
      </c>
      <c r="B219" t="s">
        <v>431</v>
      </c>
      <c r="C219" t="s">
        <v>432</v>
      </c>
      <c r="D219" t="s">
        <v>240</v>
      </c>
      <c r="E219" t="s">
        <v>36</v>
      </c>
      <c r="F219" t="s">
        <v>437</v>
      </c>
      <c r="G219" s="12">
        <v>23</v>
      </c>
      <c r="H219" s="14">
        <f t="shared" si="6"/>
        <v>16</v>
      </c>
      <c r="I219" s="8">
        <f t="shared" si="7"/>
        <v>21</v>
      </c>
    </row>
    <row r="220" spans="1:9" x14ac:dyDescent="0.35">
      <c r="A220" t="s">
        <v>430</v>
      </c>
      <c r="B220" t="s">
        <v>433</v>
      </c>
      <c r="C220" t="s">
        <v>434</v>
      </c>
      <c r="D220" t="s">
        <v>50</v>
      </c>
      <c r="E220" t="s">
        <v>36</v>
      </c>
      <c r="F220" t="s">
        <v>242</v>
      </c>
      <c r="G220" s="12">
        <v>90</v>
      </c>
      <c r="H220" s="14">
        <f t="shared" si="6"/>
        <v>63</v>
      </c>
      <c r="I220" s="8">
        <f t="shared" si="7"/>
        <v>81</v>
      </c>
    </row>
    <row r="221" spans="1:9" x14ac:dyDescent="0.35">
      <c r="A221" t="s">
        <v>430</v>
      </c>
      <c r="B221" t="s">
        <v>435</v>
      </c>
      <c r="C221" t="s">
        <v>436</v>
      </c>
      <c r="D221" t="s">
        <v>50</v>
      </c>
      <c r="E221" t="s">
        <v>36</v>
      </c>
      <c r="F221" t="s">
        <v>241</v>
      </c>
      <c r="G221" s="12">
        <v>60</v>
      </c>
      <c r="H221" s="14">
        <f t="shared" si="6"/>
        <v>42</v>
      </c>
      <c r="I221" s="8">
        <f t="shared" si="7"/>
        <v>54</v>
      </c>
    </row>
    <row r="222" spans="1:9" x14ac:dyDescent="0.35">
      <c r="A222" t="s">
        <v>438</v>
      </c>
      <c r="B222" t="s">
        <v>439</v>
      </c>
      <c r="C222" t="s">
        <v>440</v>
      </c>
      <c r="D222" t="s">
        <v>50</v>
      </c>
      <c r="E222" t="s">
        <v>67</v>
      </c>
      <c r="F222" t="s">
        <v>339</v>
      </c>
      <c r="G222" s="12">
        <v>180</v>
      </c>
      <c r="H222" s="14">
        <f t="shared" si="6"/>
        <v>126</v>
      </c>
      <c r="I222" s="8">
        <f t="shared" si="7"/>
        <v>162</v>
      </c>
    </row>
    <row r="223" spans="1:9" x14ac:dyDescent="0.35">
      <c r="A223" t="s">
        <v>438</v>
      </c>
      <c r="B223" t="s">
        <v>441</v>
      </c>
      <c r="C223" t="s">
        <v>442</v>
      </c>
      <c r="D223" t="s">
        <v>240</v>
      </c>
      <c r="E223" t="s">
        <v>36</v>
      </c>
      <c r="F223" t="s">
        <v>447</v>
      </c>
      <c r="G223" s="12">
        <v>180</v>
      </c>
      <c r="H223" s="14">
        <f t="shared" si="6"/>
        <v>126</v>
      </c>
      <c r="I223" s="8">
        <f t="shared" si="7"/>
        <v>162</v>
      </c>
    </row>
    <row r="224" spans="1:9" x14ac:dyDescent="0.35">
      <c r="A224" t="s">
        <v>438</v>
      </c>
      <c r="B224" t="s">
        <v>443</v>
      </c>
      <c r="C224" t="s">
        <v>444</v>
      </c>
      <c r="D224" t="s">
        <v>50</v>
      </c>
      <c r="E224" t="s">
        <v>103</v>
      </c>
      <c r="F224" t="s">
        <v>371</v>
      </c>
      <c r="G224" s="12">
        <v>180</v>
      </c>
      <c r="H224" s="14">
        <f t="shared" si="6"/>
        <v>126</v>
      </c>
      <c r="I224" s="8">
        <f t="shared" si="7"/>
        <v>162</v>
      </c>
    </row>
    <row r="225" spans="1:9" x14ac:dyDescent="0.35">
      <c r="A225" t="s">
        <v>438</v>
      </c>
      <c r="B225" t="s">
        <v>445</v>
      </c>
      <c r="C225" t="s">
        <v>446</v>
      </c>
      <c r="D225" t="s">
        <v>50</v>
      </c>
      <c r="E225" t="s">
        <v>103</v>
      </c>
      <c r="F225" t="s">
        <v>37</v>
      </c>
      <c r="G225" s="12">
        <v>90</v>
      </c>
      <c r="H225" s="14">
        <f t="shared" si="6"/>
        <v>63</v>
      </c>
      <c r="I225" s="8">
        <f t="shared" si="7"/>
        <v>81</v>
      </c>
    </row>
    <row r="226" spans="1:9" x14ac:dyDescent="0.35">
      <c r="A226" t="s">
        <v>274</v>
      </c>
      <c r="B226" t="s">
        <v>448</v>
      </c>
      <c r="C226" t="s">
        <v>449</v>
      </c>
      <c r="D226" t="s">
        <v>183</v>
      </c>
      <c r="E226" t="s">
        <v>36</v>
      </c>
      <c r="F226" t="s">
        <v>37</v>
      </c>
      <c r="G226" s="12">
        <v>90</v>
      </c>
      <c r="H226" s="14">
        <f t="shared" si="6"/>
        <v>63</v>
      </c>
      <c r="I226" s="8">
        <f t="shared" si="7"/>
        <v>81</v>
      </c>
    </row>
    <row r="227" spans="1:9" x14ac:dyDescent="0.35">
      <c r="A227" t="s">
        <v>274</v>
      </c>
      <c r="B227" t="s">
        <v>450</v>
      </c>
      <c r="C227" t="s">
        <v>449</v>
      </c>
      <c r="D227" t="s">
        <v>240</v>
      </c>
      <c r="E227" t="s">
        <v>36</v>
      </c>
      <c r="F227" t="s">
        <v>37</v>
      </c>
      <c r="G227" s="12">
        <v>90</v>
      </c>
      <c r="H227" s="14">
        <f t="shared" si="6"/>
        <v>63</v>
      </c>
      <c r="I227" s="8">
        <f t="shared" si="7"/>
        <v>81</v>
      </c>
    </row>
    <row r="228" spans="1:9" x14ac:dyDescent="0.35">
      <c r="A228" t="s">
        <v>274</v>
      </c>
      <c r="B228" t="s">
        <v>157</v>
      </c>
      <c r="C228" t="s">
        <v>451</v>
      </c>
      <c r="D228" t="s">
        <v>51</v>
      </c>
      <c r="E228" t="s">
        <v>36</v>
      </c>
      <c r="F228" t="s">
        <v>37</v>
      </c>
      <c r="G228" s="12">
        <v>90</v>
      </c>
      <c r="H228" s="14">
        <f t="shared" si="6"/>
        <v>63</v>
      </c>
      <c r="I228" s="8">
        <f t="shared" si="7"/>
        <v>81</v>
      </c>
    </row>
    <row r="229" spans="1:9" x14ac:dyDescent="0.35">
      <c r="A229" t="s">
        <v>452</v>
      </c>
      <c r="B229" t="s">
        <v>453</v>
      </c>
      <c r="C229" t="s">
        <v>454</v>
      </c>
      <c r="D229" t="s">
        <v>240</v>
      </c>
      <c r="E229" t="s">
        <v>36</v>
      </c>
      <c r="F229" t="s">
        <v>272</v>
      </c>
      <c r="G229" s="12">
        <v>180</v>
      </c>
      <c r="H229" s="14">
        <f t="shared" si="6"/>
        <v>126</v>
      </c>
      <c r="I229" s="8">
        <f t="shared" si="7"/>
        <v>162</v>
      </c>
    </row>
    <row r="230" spans="1:9" x14ac:dyDescent="0.35">
      <c r="A230" t="s">
        <v>452</v>
      </c>
      <c r="B230" t="s">
        <v>455</v>
      </c>
      <c r="C230" t="s">
        <v>456</v>
      </c>
      <c r="D230" t="s">
        <v>51</v>
      </c>
      <c r="E230" t="s">
        <v>36</v>
      </c>
      <c r="F230" t="s">
        <v>139</v>
      </c>
      <c r="G230" s="12">
        <v>7</v>
      </c>
      <c r="H230" s="14">
        <f t="shared" si="6"/>
        <v>5</v>
      </c>
      <c r="I230" s="8">
        <f t="shared" si="7"/>
        <v>6</v>
      </c>
    </row>
    <row r="231" spans="1:9" x14ac:dyDescent="0.35">
      <c r="A231" t="s">
        <v>452</v>
      </c>
      <c r="B231" t="s">
        <v>457</v>
      </c>
      <c r="C231" t="s">
        <v>458</v>
      </c>
      <c r="D231" t="s">
        <v>51</v>
      </c>
      <c r="E231" t="s">
        <v>36</v>
      </c>
      <c r="F231" t="s">
        <v>242</v>
      </c>
      <c r="G231" s="12">
        <v>90</v>
      </c>
      <c r="H231" s="14">
        <f t="shared" si="6"/>
        <v>63</v>
      </c>
      <c r="I231" s="8">
        <f t="shared" si="7"/>
        <v>81</v>
      </c>
    </row>
    <row r="232" spans="1:9" x14ac:dyDescent="0.35">
      <c r="A232" t="s">
        <v>452</v>
      </c>
      <c r="B232" t="s">
        <v>459</v>
      </c>
      <c r="C232" t="s">
        <v>460</v>
      </c>
      <c r="D232" t="s">
        <v>50</v>
      </c>
      <c r="E232" t="s">
        <v>36</v>
      </c>
      <c r="F232" t="s">
        <v>242</v>
      </c>
      <c r="G232" s="12">
        <v>90</v>
      </c>
      <c r="H232" s="14">
        <f t="shared" si="6"/>
        <v>63</v>
      </c>
      <c r="I232" s="8">
        <f t="shared" si="7"/>
        <v>81</v>
      </c>
    </row>
    <row r="233" spans="1:9" x14ac:dyDescent="0.35">
      <c r="A233" t="s">
        <v>452</v>
      </c>
      <c r="B233" t="s">
        <v>461</v>
      </c>
      <c r="C233" t="s">
        <v>462</v>
      </c>
      <c r="D233" t="s">
        <v>50</v>
      </c>
      <c r="E233" t="s">
        <v>36</v>
      </c>
      <c r="F233" t="s">
        <v>315</v>
      </c>
      <c r="G233" s="12">
        <v>30</v>
      </c>
      <c r="H233" s="14">
        <f t="shared" si="6"/>
        <v>21</v>
      </c>
      <c r="I233" s="8">
        <f t="shared" si="7"/>
        <v>27</v>
      </c>
    </row>
    <row r="234" spans="1:9" x14ac:dyDescent="0.35">
      <c r="A234" t="s">
        <v>452</v>
      </c>
      <c r="B234" t="s">
        <v>463</v>
      </c>
      <c r="C234" t="s">
        <v>464</v>
      </c>
      <c r="D234" t="s">
        <v>51</v>
      </c>
      <c r="E234" t="s">
        <v>36</v>
      </c>
      <c r="F234" t="s">
        <v>242</v>
      </c>
      <c r="G234" s="12">
        <v>90</v>
      </c>
      <c r="H234" s="14">
        <f t="shared" si="6"/>
        <v>63</v>
      </c>
      <c r="I234" s="8">
        <f t="shared" si="7"/>
        <v>81</v>
      </c>
    </row>
    <row r="235" spans="1:9" x14ac:dyDescent="0.35">
      <c r="A235" t="s">
        <v>452</v>
      </c>
      <c r="B235" t="s">
        <v>465</v>
      </c>
      <c r="C235" t="s">
        <v>466</v>
      </c>
      <c r="D235" t="s">
        <v>51</v>
      </c>
      <c r="E235" t="s">
        <v>36</v>
      </c>
      <c r="F235" t="s">
        <v>242</v>
      </c>
      <c r="G235" s="12">
        <v>90</v>
      </c>
      <c r="H235" s="14">
        <f t="shared" si="6"/>
        <v>63</v>
      </c>
      <c r="I235" s="8">
        <f t="shared" si="7"/>
        <v>81</v>
      </c>
    </row>
    <row r="236" spans="1:9" x14ac:dyDescent="0.35">
      <c r="A236" t="s">
        <v>452</v>
      </c>
      <c r="B236" t="s">
        <v>467</v>
      </c>
      <c r="C236" t="s">
        <v>468</v>
      </c>
      <c r="D236" t="s">
        <v>50</v>
      </c>
      <c r="E236" t="s">
        <v>36</v>
      </c>
      <c r="F236" t="s">
        <v>316</v>
      </c>
      <c r="G236" s="12">
        <v>30</v>
      </c>
      <c r="H236" s="14">
        <f t="shared" si="6"/>
        <v>21</v>
      </c>
      <c r="I236" s="8">
        <f t="shared" si="7"/>
        <v>27</v>
      </c>
    </row>
    <row r="237" spans="1:9" x14ac:dyDescent="0.35">
      <c r="A237" t="s">
        <v>452</v>
      </c>
      <c r="B237" t="s">
        <v>469</v>
      </c>
      <c r="C237" t="s">
        <v>470</v>
      </c>
      <c r="D237" t="s">
        <v>51</v>
      </c>
      <c r="E237" t="s">
        <v>36</v>
      </c>
      <c r="F237" t="s">
        <v>315</v>
      </c>
      <c r="G237" s="12">
        <v>30</v>
      </c>
      <c r="H237" s="14">
        <f t="shared" si="6"/>
        <v>21</v>
      </c>
      <c r="I237" s="8">
        <f t="shared" si="7"/>
        <v>27</v>
      </c>
    </row>
    <row r="238" spans="1:9" x14ac:dyDescent="0.35">
      <c r="A238" t="s">
        <v>452</v>
      </c>
      <c r="B238" t="s">
        <v>471</v>
      </c>
      <c r="C238" t="s">
        <v>472</v>
      </c>
      <c r="D238" t="s">
        <v>50</v>
      </c>
      <c r="E238" t="s">
        <v>36</v>
      </c>
      <c r="F238" t="s">
        <v>242</v>
      </c>
      <c r="G238" s="12">
        <v>90</v>
      </c>
      <c r="H238" s="14">
        <f t="shared" si="6"/>
        <v>63</v>
      </c>
      <c r="I238" s="8">
        <f t="shared" si="7"/>
        <v>81</v>
      </c>
    </row>
    <row r="239" spans="1:9" x14ac:dyDescent="0.35">
      <c r="A239" t="s">
        <v>452</v>
      </c>
      <c r="B239" t="s">
        <v>473</v>
      </c>
      <c r="C239" t="s">
        <v>474</v>
      </c>
      <c r="D239" t="s">
        <v>51</v>
      </c>
      <c r="E239" t="s">
        <v>36</v>
      </c>
      <c r="F239" t="s">
        <v>242</v>
      </c>
      <c r="G239" s="12">
        <v>90</v>
      </c>
      <c r="H239" s="14">
        <f t="shared" si="6"/>
        <v>63</v>
      </c>
      <c r="I239" s="8">
        <f t="shared" si="7"/>
        <v>81</v>
      </c>
    </row>
    <row r="240" spans="1:9" x14ac:dyDescent="0.35">
      <c r="A240" t="s">
        <v>452</v>
      </c>
      <c r="B240" t="s">
        <v>475</v>
      </c>
      <c r="C240" t="s">
        <v>476</v>
      </c>
      <c r="D240" t="s">
        <v>51</v>
      </c>
      <c r="E240" t="s">
        <v>36</v>
      </c>
      <c r="F240" t="s">
        <v>242</v>
      </c>
      <c r="G240" s="12">
        <v>90</v>
      </c>
      <c r="H240" s="14">
        <f t="shared" si="6"/>
        <v>63</v>
      </c>
      <c r="I240" s="8">
        <f t="shared" si="7"/>
        <v>81</v>
      </c>
    </row>
    <row r="241" spans="1:9" x14ac:dyDescent="0.35">
      <c r="A241" t="s">
        <v>452</v>
      </c>
      <c r="B241" t="s">
        <v>477</v>
      </c>
      <c r="C241" t="s">
        <v>478</v>
      </c>
      <c r="D241" t="s">
        <v>50</v>
      </c>
      <c r="E241" t="s">
        <v>36</v>
      </c>
      <c r="F241" t="s">
        <v>242</v>
      </c>
      <c r="G241" s="12">
        <v>90</v>
      </c>
      <c r="H241" s="14">
        <f t="shared" si="6"/>
        <v>63</v>
      </c>
      <c r="I241" s="8">
        <f t="shared" si="7"/>
        <v>81</v>
      </c>
    </row>
    <row r="242" spans="1:9" x14ac:dyDescent="0.35">
      <c r="A242" s="3" t="s">
        <v>479</v>
      </c>
      <c r="B242" t="s">
        <v>480</v>
      </c>
      <c r="C242" t="s">
        <v>481</v>
      </c>
      <c r="D242" t="s">
        <v>240</v>
      </c>
      <c r="E242" t="s">
        <v>36</v>
      </c>
      <c r="F242" t="s">
        <v>500</v>
      </c>
      <c r="G242" s="12">
        <v>60</v>
      </c>
      <c r="H242" s="14">
        <f t="shared" si="6"/>
        <v>42</v>
      </c>
      <c r="I242" s="8">
        <f t="shared" si="7"/>
        <v>54</v>
      </c>
    </row>
    <row r="243" spans="1:9" x14ac:dyDescent="0.35">
      <c r="A243" s="3" t="s">
        <v>479</v>
      </c>
      <c r="B243" t="s">
        <v>482</v>
      </c>
      <c r="C243" t="s">
        <v>483</v>
      </c>
      <c r="D243" t="s">
        <v>195</v>
      </c>
      <c r="E243" t="s">
        <v>36</v>
      </c>
      <c r="F243" t="s">
        <v>244</v>
      </c>
      <c r="H243" s="14"/>
    </row>
    <row r="244" spans="1:9" x14ac:dyDescent="0.35">
      <c r="A244" s="3" t="s">
        <v>479</v>
      </c>
      <c r="B244" t="s">
        <v>484</v>
      </c>
      <c r="C244" t="s">
        <v>485</v>
      </c>
      <c r="D244" t="s">
        <v>51</v>
      </c>
      <c r="E244" t="s">
        <v>36</v>
      </c>
      <c r="F244" t="s">
        <v>71</v>
      </c>
      <c r="G244" s="12">
        <v>15</v>
      </c>
      <c r="H244" s="14">
        <f t="shared" si="6"/>
        <v>11</v>
      </c>
      <c r="I244" s="8">
        <f t="shared" si="7"/>
        <v>14</v>
      </c>
    </row>
    <row r="245" spans="1:9" x14ac:dyDescent="0.35">
      <c r="A245" s="3" t="s">
        <v>479</v>
      </c>
      <c r="B245" t="s">
        <v>486</v>
      </c>
      <c r="C245" t="s">
        <v>487</v>
      </c>
      <c r="D245" t="s">
        <v>50</v>
      </c>
      <c r="E245" t="s">
        <v>36</v>
      </c>
      <c r="F245" t="s">
        <v>339</v>
      </c>
      <c r="G245" s="12">
        <v>180</v>
      </c>
      <c r="H245" s="14">
        <f t="shared" si="6"/>
        <v>126</v>
      </c>
      <c r="I245" s="8">
        <f t="shared" si="7"/>
        <v>162</v>
      </c>
    </row>
    <row r="246" spans="1:9" x14ac:dyDescent="0.35">
      <c r="A246" s="3" t="s">
        <v>479</v>
      </c>
      <c r="B246" t="s">
        <v>488</v>
      </c>
      <c r="C246" t="s">
        <v>489</v>
      </c>
      <c r="D246" t="s">
        <v>50</v>
      </c>
      <c r="E246" t="s">
        <v>36</v>
      </c>
      <c r="F246" t="s">
        <v>501</v>
      </c>
      <c r="G246" s="12">
        <v>360</v>
      </c>
      <c r="H246" s="14">
        <f t="shared" si="6"/>
        <v>252</v>
      </c>
      <c r="I246" s="8">
        <f t="shared" si="7"/>
        <v>324</v>
      </c>
    </row>
    <row r="247" spans="1:9" x14ac:dyDescent="0.35">
      <c r="A247" s="3" t="s">
        <v>479</v>
      </c>
      <c r="B247" t="s">
        <v>490</v>
      </c>
      <c r="C247" t="s">
        <v>491</v>
      </c>
      <c r="D247" t="s">
        <v>51</v>
      </c>
      <c r="E247" t="s">
        <v>146</v>
      </c>
      <c r="F247" t="s">
        <v>242</v>
      </c>
      <c r="G247" s="12">
        <v>90</v>
      </c>
      <c r="H247" s="14">
        <f t="shared" si="6"/>
        <v>63</v>
      </c>
      <c r="I247" s="8">
        <f t="shared" si="7"/>
        <v>81</v>
      </c>
    </row>
    <row r="248" spans="1:9" x14ac:dyDescent="0.35">
      <c r="A248" s="3" t="s">
        <v>479</v>
      </c>
      <c r="B248" t="s">
        <v>492</v>
      </c>
      <c r="C248" t="s">
        <v>493</v>
      </c>
      <c r="D248" t="s">
        <v>51</v>
      </c>
      <c r="E248" t="s">
        <v>146</v>
      </c>
      <c r="F248" t="s">
        <v>241</v>
      </c>
      <c r="G248" s="12">
        <v>60</v>
      </c>
      <c r="H248" s="14">
        <f t="shared" si="6"/>
        <v>42</v>
      </c>
      <c r="I248" s="8">
        <f t="shared" si="7"/>
        <v>54</v>
      </c>
    </row>
    <row r="249" spans="1:9" x14ac:dyDescent="0.35">
      <c r="A249" s="3" t="s">
        <v>479</v>
      </c>
      <c r="B249" t="s">
        <v>494</v>
      </c>
      <c r="C249" t="s">
        <v>495</v>
      </c>
      <c r="D249" t="s">
        <v>195</v>
      </c>
      <c r="E249" t="s">
        <v>36</v>
      </c>
      <c r="F249" t="s">
        <v>242</v>
      </c>
      <c r="G249" s="12">
        <v>90</v>
      </c>
      <c r="H249" s="14">
        <f t="shared" si="6"/>
        <v>63</v>
      </c>
      <c r="I249" s="8">
        <f t="shared" si="7"/>
        <v>81</v>
      </c>
    </row>
    <row r="250" spans="1:9" x14ac:dyDescent="0.35">
      <c r="A250" s="3" t="s">
        <v>479</v>
      </c>
      <c r="B250" t="s">
        <v>496</v>
      </c>
      <c r="C250" t="s">
        <v>497</v>
      </c>
      <c r="D250" t="s">
        <v>50</v>
      </c>
      <c r="E250" t="s">
        <v>36</v>
      </c>
      <c r="F250" t="s">
        <v>339</v>
      </c>
      <c r="G250" s="12">
        <v>180</v>
      </c>
      <c r="H250" s="14">
        <f t="shared" si="6"/>
        <v>126</v>
      </c>
      <c r="I250" s="8">
        <f t="shared" si="7"/>
        <v>162</v>
      </c>
    </row>
    <row r="251" spans="1:9" x14ac:dyDescent="0.35">
      <c r="A251" s="3" t="s">
        <v>479</v>
      </c>
      <c r="B251" t="s">
        <v>498</v>
      </c>
      <c r="C251" t="s">
        <v>499</v>
      </c>
      <c r="D251" t="s">
        <v>50</v>
      </c>
      <c r="E251" t="s">
        <v>146</v>
      </c>
      <c r="F251" t="s">
        <v>502</v>
      </c>
      <c r="G251" s="12">
        <v>120</v>
      </c>
      <c r="H251" s="14">
        <f t="shared" si="6"/>
        <v>84</v>
      </c>
      <c r="I251" s="8">
        <f t="shared" si="7"/>
        <v>108</v>
      </c>
    </row>
    <row r="252" spans="1:9" x14ac:dyDescent="0.35">
      <c r="A252" t="s">
        <v>503</v>
      </c>
      <c r="B252" t="s">
        <v>504</v>
      </c>
      <c r="C252" t="s">
        <v>505</v>
      </c>
      <c r="D252" t="s">
        <v>138</v>
      </c>
      <c r="E252" t="s">
        <v>67</v>
      </c>
      <c r="F252" t="s">
        <v>145</v>
      </c>
      <c r="G252" s="12">
        <v>30</v>
      </c>
      <c r="H252" s="14">
        <f t="shared" si="6"/>
        <v>21</v>
      </c>
      <c r="I252" s="8">
        <f t="shared" si="7"/>
        <v>27</v>
      </c>
    </row>
    <row r="253" spans="1:9" x14ac:dyDescent="0.35">
      <c r="A253" t="s">
        <v>503</v>
      </c>
      <c r="B253" t="s">
        <v>506</v>
      </c>
      <c r="C253" t="s">
        <v>507</v>
      </c>
      <c r="D253" t="s">
        <v>138</v>
      </c>
      <c r="E253" t="s">
        <v>103</v>
      </c>
      <c r="F253" t="s">
        <v>143</v>
      </c>
      <c r="G253" s="12">
        <v>15</v>
      </c>
      <c r="H253" s="14">
        <f t="shared" si="6"/>
        <v>11</v>
      </c>
      <c r="I253" s="8">
        <f t="shared" si="7"/>
        <v>14</v>
      </c>
    </row>
    <row r="254" spans="1:9" x14ac:dyDescent="0.35">
      <c r="A254" t="s">
        <v>503</v>
      </c>
      <c r="B254" t="s">
        <v>508</v>
      </c>
      <c r="C254" t="s">
        <v>509</v>
      </c>
      <c r="D254" t="s">
        <v>138</v>
      </c>
      <c r="E254" t="s">
        <v>67</v>
      </c>
      <c r="F254" t="s">
        <v>142</v>
      </c>
      <c r="G254" s="12">
        <v>180</v>
      </c>
      <c r="H254" s="14">
        <f t="shared" si="6"/>
        <v>126</v>
      </c>
      <c r="I254" s="8">
        <f t="shared" si="7"/>
        <v>162</v>
      </c>
    </row>
    <row r="255" spans="1:9" x14ac:dyDescent="0.35">
      <c r="A255" t="s">
        <v>503</v>
      </c>
      <c r="B255" t="s">
        <v>510</v>
      </c>
      <c r="C255" t="s">
        <v>509</v>
      </c>
      <c r="D255" t="s">
        <v>138</v>
      </c>
      <c r="E255" t="s">
        <v>36</v>
      </c>
      <c r="F255" t="s">
        <v>142</v>
      </c>
      <c r="G255" s="12">
        <v>180</v>
      </c>
      <c r="H255" s="14">
        <f t="shared" si="6"/>
        <v>126</v>
      </c>
      <c r="I255" s="8">
        <f t="shared" si="7"/>
        <v>162</v>
      </c>
    </row>
    <row r="256" spans="1:9" x14ac:dyDescent="0.35">
      <c r="A256" t="s">
        <v>503</v>
      </c>
      <c r="B256" t="s">
        <v>511</v>
      </c>
      <c r="C256" t="s">
        <v>512</v>
      </c>
      <c r="D256" t="s">
        <v>138</v>
      </c>
      <c r="E256" t="s">
        <v>67</v>
      </c>
      <c r="F256" t="s">
        <v>38</v>
      </c>
      <c r="G256" s="12">
        <v>60</v>
      </c>
      <c r="H256" s="14">
        <f t="shared" si="6"/>
        <v>42</v>
      </c>
      <c r="I256" s="8">
        <f t="shared" si="7"/>
        <v>54</v>
      </c>
    </row>
    <row r="257" spans="1:9" x14ac:dyDescent="0.35">
      <c r="A257" t="s">
        <v>503</v>
      </c>
      <c r="B257" t="s">
        <v>513</v>
      </c>
      <c r="C257" t="s">
        <v>505</v>
      </c>
      <c r="D257" t="s">
        <v>138</v>
      </c>
      <c r="E257" t="s">
        <v>67</v>
      </c>
      <c r="F257" t="s">
        <v>421</v>
      </c>
      <c r="G257" s="12">
        <v>30</v>
      </c>
      <c r="H257" s="14">
        <f t="shared" si="6"/>
        <v>21</v>
      </c>
      <c r="I257" s="8">
        <f t="shared" si="7"/>
        <v>27</v>
      </c>
    </row>
    <row r="258" spans="1:9" x14ac:dyDescent="0.35">
      <c r="A258" t="s">
        <v>503</v>
      </c>
      <c r="B258" t="s">
        <v>514</v>
      </c>
      <c r="D258" t="s">
        <v>138</v>
      </c>
      <c r="E258" t="s">
        <v>67</v>
      </c>
      <c r="F258" t="s">
        <v>244</v>
      </c>
      <c r="H258" s="14"/>
    </row>
    <row r="259" spans="1:9" x14ac:dyDescent="0.35">
      <c r="A259" t="s">
        <v>503</v>
      </c>
      <c r="B259" t="s">
        <v>515</v>
      </c>
      <c r="D259" t="s">
        <v>138</v>
      </c>
      <c r="E259" t="s">
        <v>67</v>
      </c>
      <c r="F259" t="s">
        <v>244</v>
      </c>
      <c r="H259" s="14"/>
    </row>
    <row r="260" spans="1:9" x14ac:dyDescent="0.35">
      <c r="A260" t="s">
        <v>503</v>
      </c>
      <c r="B260" t="s">
        <v>516</v>
      </c>
      <c r="C260" t="s">
        <v>517</v>
      </c>
      <c r="D260" t="s">
        <v>138</v>
      </c>
      <c r="E260" t="s">
        <v>67</v>
      </c>
      <c r="F260" t="s">
        <v>38</v>
      </c>
      <c r="G260" s="12">
        <v>60</v>
      </c>
      <c r="H260" s="14">
        <f t="shared" si="6"/>
        <v>42</v>
      </c>
      <c r="I260" s="8">
        <f t="shared" si="7"/>
        <v>54</v>
      </c>
    </row>
    <row r="261" spans="1:9" x14ac:dyDescent="0.35">
      <c r="A261" t="s">
        <v>503</v>
      </c>
      <c r="B261" t="s">
        <v>518</v>
      </c>
      <c r="C261" t="s">
        <v>519</v>
      </c>
      <c r="D261" t="s">
        <v>138</v>
      </c>
      <c r="E261" t="s">
        <v>146</v>
      </c>
      <c r="F261" t="s">
        <v>143</v>
      </c>
      <c r="G261" s="12">
        <v>15</v>
      </c>
      <c r="H261" s="14">
        <f t="shared" si="6"/>
        <v>11</v>
      </c>
      <c r="I261" s="8">
        <f t="shared" si="7"/>
        <v>14</v>
      </c>
    </row>
    <row r="262" spans="1:9" x14ac:dyDescent="0.35">
      <c r="A262" t="s">
        <v>503</v>
      </c>
      <c r="B262" t="s">
        <v>520</v>
      </c>
      <c r="C262" t="s">
        <v>519</v>
      </c>
      <c r="D262" t="s">
        <v>138</v>
      </c>
      <c r="E262" t="s">
        <v>146</v>
      </c>
      <c r="F262" t="s">
        <v>143</v>
      </c>
      <c r="G262" s="12">
        <v>15</v>
      </c>
      <c r="H262" s="14">
        <f t="shared" si="6"/>
        <v>11</v>
      </c>
      <c r="I262" s="8">
        <f t="shared" si="7"/>
        <v>14</v>
      </c>
    </row>
    <row r="263" spans="1:9" x14ac:dyDescent="0.35">
      <c r="A263" t="s">
        <v>523</v>
      </c>
      <c r="B263" t="s">
        <v>524</v>
      </c>
      <c r="C263" t="s">
        <v>532</v>
      </c>
      <c r="D263" t="s">
        <v>240</v>
      </c>
      <c r="E263" t="s">
        <v>36</v>
      </c>
      <c r="F263" t="s">
        <v>73</v>
      </c>
      <c r="H263" s="14"/>
    </row>
    <row r="264" spans="1:9" x14ac:dyDescent="0.35">
      <c r="A264" t="s">
        <v>523</v>
      </c>
      <c r="B264" t="s">
        <v>525</v>
      </c>
      <c r="C264" t="s">
        <v>533</v>
      </c>
      <c r="D264" t="s">
        <v>240</v>
      </c>
      <c r="E264" t="s">
        <v>36</v>
      </c>
      <c r="F264" t="s">
        <v>534</v>
      </c>
      <c r="G264" s="12">
        <v>7</v>
      </c>
      <c r="H264" s="14">
        <f t="shared" si="6"/>
        <v>5</v>
      </c>
      <c r="I264" s="8">
        <f t="shared" si="7"/>
        <v>6</v>
      </c>
    </row>
    <row r="265" spans="1:9" x14ac:dyDescent="0.35">
      <c r="A265" t="s">
        <v>523</v>
      </c>
      <c r="B265" t="s">
        <v>526</v>
      </c>
      <c r="C265" t="s">
        <v>533</v>
      </c>
      <c r="D265" t="s">
        <v>51</v>
      </c>
      <c r="E265" t="s">
        <v>36</v>
      </c>
      <c r="F265" t="s">
        <v>535</v>
      </c>
      <c r="G265" s="12">
        <v>7</v>
      </c>
      <c r="H265" s="14">
        <f t="shared" si="6"/>
        <v>5</v>
      </c>
      <c r="I265" s="8">
        <f t="shared" si="7"/>
        <v>6</v>
      </c>
    </row>
    <row r="266" spans="1:9" x14ac:dyDescent="0.35">
      <c r="A266" t="s">
        <v>523</v>
      </c>
      <c r="B266" t="s">
        <v>527</v>
      </c>
      <c r="C266" t="s">
        <v>533</v>
      </c>
      <c r="D266" t="s">
        <v>51</v>
      </c>
      <c r="E266" t="s">
        <v>36</v>
      </c>
      <c r="F266" t="s">
        <v>536</v>
      </c>
      <c r="G266" s="12">
        <v>7</v>
      </c>
      <c r="H266" s="14">
        <f t="shared" si="6"/>
        <v>5</v>
      </c>
      <c r="I266" s="8">
        <f t="shared" si="7"/>
        <v>6</v>
      </c>
    </row>
    <row r="267" spans="1:9" x14ac:dyDescent="0.35">
      <c r="A267" t="s">
        <v>523</v>
      </c>
      <c r="B267" t="s">
        <v>528</v>
      </c>
      <c r="C267" t="s">
        <v>533</v>
      </c>
      <c r="D267" t="s">
        <v>240</v>
      </c>
      <c r="E267" t="s">
        <v>36</v>
      </c>
      <c r="F267" t="s">
        <v>537</v>
      </c>
      <c r="G267" s="12">
        <v>10</v>
      </c>
      <c r="H267" s="14">
        <f t="shared" si="6"/>
        <v>7</v>
      </c>
      <c r="I267" s="8">
        <f t="shared" si="7"/>
        <v>9</v>
      </c>
    </row>
    <row r="268" spans="1:9" x14ac:dyDescent="0.35">
      <c r="A268" t="s">
        <v>523</v>
      </c>
      <c r="B268" t="s">
        <v>529</v>
      </c>
      <c r="C268" t="s">
        <v>533</v>
      </c>
      <c r="D268" t="s">
        <v>51</v>
      </c>
      <c r="E268" t="s">
        <v>36</v>
      </c>
      <c r="F268" t="s">
        <v>145</v>
      </c>
      <c r="G268" s="12">
        <v>30</v>
      </c>
      <c r="H268" s="14">
        <f t="shared" si="6"/>
        <v>21</v>
      </c>
      <c r="I268" s="8">
        <f t="shared" si="7"/>
        <v>27</v>
      </c>
    </row>
    <row r="269" spans="1:9" x14ac:dyDescent="0.35">
      <c r="A269" t="s">
        <v>523</v>
      </c>
      <c r="B269" t="s">
        <v>530</v>
      </c>
      <c r="C269" t="s">
        <v>533</v>
      </c>
      <c r="D269" t="s">
        <v>50</v>
      </c>
      <c r="E269" t="s">
        <v>36</v>
      </c>
      <c r="F269" t="s">
        <v>145</v>
      </c>
      <c r="G269" s="12">
        <v>30</v>
      </c>
      <c r="H269" s="14">
        <f t="shared" si="6"/>
        <v>21</v>
      </c>
      <c r="I269" s="8">
        <f t="shared" si="7"/>
        <v>27</v>
      </c>
    </row>
    <row r="270" spans="1:9" x14ac:dyDescent="0.35">
      <c r="A270" t="s">
        <v>523</v>
      </c>
      <c r="B270" t="s">
        <v>531</v>
      </c>
      <c r="C270" t="s">
        <v>533</v>
      </c>
      <c r="D270" t="s">
        <v>50</v>
      </c>
      <c r="E270" t="s">
        <v>36</v>
      </c>
      <c r="F270" t="s">
        <v>538</v>
      </c>
      <c r="G270" s="12">
        <v>90</v>
      </c>
      <c r="H270" s="14">
        <f t="shared" ref="H270" si="8">ROUND(0.7*G270,0)</f>
        <v>63</v>
      </c>
      <c r="I270" s="8">
        <f t="shared" ref="I270" si="9">ROUND(0.9*G270,0)</f>
        <v>81</v>
      </c>
    </row>
  </sheetData>
  <mergeCells count="1">
    <mergeCell ref="A1:I10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Chikobvu, Adiel (GPHEALTH)</dc:creator>
  <cp:lastModifiedBy>Chikobvu, Adiel (GPHEALTH)</cp:lastModifiedBy>
  <dcterms:created xsi:type="dcterms:W3CDTF">2025-06-08T15:45:35Z</dcterms:created>
  <dcterms:modified xsi:type="dcterms:W3CDTF">2025-07-01T07:35:20Z</dcterms:modified>
</cp:coreProperties>
</file>